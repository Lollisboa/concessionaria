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vjvc\Downloads\"/>
    </mc:Choice>
  </mc:AlternateContent>
  <xr:revisionPtr revIDLastSave="0" documentId="13_ncr:1_{30738D14-BC2C-43F9-A487-082A584694E4}" xr6:coauthVersionLast="47" xr6:coauthVersionMax="47" xr10:uidLastSave="{00000000-0000-0000-0000-000000000000}"/>
  <bookViews>
    <workbookView xWindow="-108" yWindow="-108" windowWidth="23256" windowHeight="12576" tabRatio="619" firstSheet="3" activeTab="9" xr2:uid="{F498BFD1-DA73-4D81-BD05-606C37BD8CDB}"/>
  </bookViews>
  <sheets>
    <sheet name="Home" sheetId="3" r:id="rId1"/>
    <sheet name="Registros" sheetId="11" r:id="rId2"/>
    <sheet name="Red-veiculo" sheetId="4" r:id="rId3"/>
    <sheet name="Red-usuario" sheetId="12" r:id="rId4"/>
    <sheet name="Cadastro" sheetId="5" r:id="rId5"/>
    <sheet name="Cad-veiculo" sheetId="9" r:id="rId6"/>
    <sheet name="Cad-usuario" sheetId="10" r:id="rId7"/>
    <sheet name="Planilha3" sheetId="20" r:id="rId8"/>
    <sheet name="Vendas" sheetId="7" r:id="rId9"/>
    <sheet name="Dashboard" sheetId="8" r:id="rId10"/>
    <sheet name="Planilha2" sheetId="22" r:id="rId11"/>
  </sheets>
  <definedNames>
    <definedName name="SegmentaçãodeDados_Meses__data">#N/A</definedName>
  </definedNames>
  <calcPr calcId="191028"/>
  <pivotCaches>
    <pivotCache cacheId="497" r:id="rId12"/>
  </pivotCaches>
  <extLst>
    <ext xmlns:x14="http://schemas.microsoft.com/office/spreadsheetml/2009/9/main" uri="{BBE1A952-AA13-448e-AADC-164F8A28A991}">
      <x14:slicerCaches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7" l="1"/>
  <c r="Z10" i="9"/>
  <c r="AA10" i="9"/>
  <c r="Y10" i="9"/>
  <c r="X10" i="9"/>
  <c r="W10" i="9"/>
  <c r="V10" i="9"/>
  <c r="U10" i="9"/>
  <c r="T10" i="9"/>
  <c r="AC10" i="10"/>
  <c r="AD10" i="10"/>
  <c r="AB10" i="10"/>
  <c r="AA10" i="10"/>
  <c r="Z10" i="10"/>
  <c r="V10" i="10"/>
  <c r="T10" i="10"/>
  <c r="W10" i="10"/>
</calcChain>
</file>

<file path=xl/sharedStrings.xml><?xml version="1.0" encoding="utf-8"?>
<sst xmlns="http://schemas.openxmlformats.org/spreadsheetml/2006/main" count="869" uniqueCount="136">
  <si>
    <t>marca</t>
  </si>
  <si>
    <t>modelo</t>
  </si>
  <si>
    <t>cor</t>
  </si>
  <si>
    <t>ano</t>
  </si>
  <si>
    <t>câmbio</t>
  </si>
  <si>
    <t>combustivel</t>
  </si>
  <si>
    <t>categoria</t>
  </si>
  <si>
    <t>valor</t>
  </si>
  <si>
    <t>status</t>
  </si>
  <si>
    <t>Chevrolet</t>
  </si>
  <si>
    <t>Agile</t>
  </si>
  <si>
    <t>Prata</t>
  </si>
  <si>
    <t>Manual</t>
  </si>
  <si>
    <t>Flex</t>
  </si>
  <si>
    <t>SEMI NOVO</t>
  </si>
  <si>
    <t>Honda</t>
  </si>
  <si>
    <t>Civic</t>
  </si>
  <si>
    <t>Vermelho</t>
  </si>
  <si>
    <t>Álcool</t>
  </si>
  <si>
    <t>Volvo</t>
  </si>
  <si>
    <t>Xc60</t>
  </si>
  <si>
    <t>Azul</t>
  </si>
  <si>
    <t>Automático</t>
  </si>
  <si>
    <t>0KM</t>
  </si>
  <si>
    <t>Fiat</t>
  </si>
  <si>
    <t>Mobi</t>
  </si>
  <si>
    <t>Branco</t>
  </si>
  <si>
    <t>Punto</t>
  </si>
  <si>
    <t>Preto</t>
  </si>
  <si>
    <t>Toyota</t>
  </si>
  <si>
    <t>Corolla</t>
  </si>
  <si>
    <t>nome</t>
  </si>
  <si>
    <t>CPF</t>
  </si>
  <si>
    <t>e-mail</t>
  </si>
  <si>
    <t>telefone</t>
  </si>
  <si>
    <t>cidade</t>
  </si>
  <si>
    <t>estado</t>
  </si>
  <si>
    <t>preferência</t>
  </si>
  <si>
    <t>investimento</t>
  </si>
  <si>
    <t>Otero</t>
  </si>
  <si>
    <t>otero@santos.com</t>
  </si>
  <si>
    <t>Santos</t>
  </si>
  <si>
    <t>São Paulo</t>
  </si>
  <si>
    <t>Jota</t>
  </si>
  <si>
    <t>jvjvcarvalho345@gmail.com</t>
  </si>
  <si>
    <t>Poá</t>
  </si>
  <si>
    <t>Carol Lisboa</t>
  </si>
  <si>
    <t>carollisboa@gmail.com</t>
  </si>
  <si>
    <t>Suzano</t>
  </si>
  <si>
    <t xml:space="preserve"> </t>
  </si>
  <si>
    <t>FORMULÁRIO DE CADASTRO DE VEÍCULO</t>
  </si>
  <si>
    <t>MODELO:</t>
  </si>
  <si>
    <t>COR:</t>
  </si>
  <si>
    <t>MARCA:</t>
  </si>
  <si>
    <t>ANO:</t>
  </si>
  <si>
    <t>CÂMBIO:</t>
  </si>
  <si>
    <t>CATEGORIA:</t>
  </si>
  <si>
    <t>COMBUSTÍVEL:</t>
  </si>
  <si>
    <t>VALOR:</t>
  </si>
  <si>
    <t>FORMULÁRIO DE CADASTRO DE CLIENTES</t>
  </si>
  <si>
    <t>NOME:</t>
  </si>
  <si>
    <t>CIDADE:</t>
  </si>
  <si>
    <t>CPF:</t>
  </si>
  <si>
    <t>ESTADO:</t>
  </si>
  <si>
    <t>TELEFONE:</t>
  </si>
  <si>
    <t>PREFERÊNCIA:</t>
  </si>
  <si>
    <t>E-MAIL:</t>
  </si>
  <si>
    <t>INVESTIMENTO:</t>
  </si>
  <si>
    <t>Soma de valor</t>
  </si>
  <si>
    <t>data</t>
  </si>
  <si>
    <t>TOTAL DE VENDAS</t>
  </si>
  <si>
    <t>Nissan</t>
  </si>
  <si>
    <t>jan</t>
  </si>
  <si>
    <t>mai</t>
  </si>
  <si>
    <t>jul</t>
  </si>
  <si>
    <t>out</t>
  </si>
  <si>
    <t>dez</t>
  </si>
  <si>
    <t>Versa</t>
  </si>
  <si>
    <t>Rótulos de Linha</t>
  </si>
  <si>
    <t>ago</t>
  </si>
  <si>
    <t>Renault</t>
  </si>
  <si>
    <t>Sandero</t>
  </si>
  <si>
    <t>abr</t>
  </si>
  <si>
    <t>agile</t>
  </si>
  <si>
    <t>chevrolet</t>
  </si>
  <si>
    <t>preto</t>
  </si>
  <si>
    <t>Gasolina</t>
  </si>
  <si>
    <t>Etios</t>
  </si>
  <si>
    <t>Hyundai</t>
  </si>
  <si>
    <t>i30</t>
  </si>
  <si>
    <t>mar</t>
  </si>
  <si>
    <t>0 Km</t>
  </si>
  <si>
    <t>Semi novo</t>
  </si>
  <si>
    <t>Ford</t>
  </si>
  <si>
    <t>Focus</t>
  </si>
  <si>
    <t>Cinza</t>
  </si>
  <si>
    <t>Onix</t>
  </si>
  <si>
    <t>Volkswagen</t>
  </si>
  <si>
    <t>Golf</t>
  </si>
  <si>
    <t>HB20</t>
  </si>
  <si>
    <t>GNV</t>
  </si>
  <si>
    <t>Sentra</t>
  </si>
  <si>
    <t>Jeep</t>
  </si>
  <si>
    <t>Compass</t>
  </si>
  <si>
    <t>Argo</t>
  </si>
  <si>
    <t>Peugeot</t>
  </si>
  <si>
    <t>Citroën</t>
  </si>
  <si>
    <t>C4 Cactus</t>
  </si>
  <si>
    <t>Kia</t>
  </si>
  <si>
    <t>Sportage</t>
  </si>
  <si>
    <t>BMW</t>
  </si>
  <si>
    <t>Série 3</t>
  </si>
  <si>
    <t>Audi</t>
  </si>
  <si>
    <t>A4</t>
  </si>
  <si>
    <t>Mercedes</t>
  </si>
  <si>
    <t>Classe C</t>
  </si>
  <si>
    <t>Ecosport</t>
  </si>
  <si>
    <t>Mitsubishi</t>
  </si>
  <si>
    <t>Outlander</t>
  </si>
  <si>
    <t>Land Rover</t>
  </si>
  <si>
    <t>Evoque</t>
  </si>
  <si>
    <t>XC60</t>
  </si>
  <si>
    <t>Kicks</t>
  </si>
  <si>
    <t>Tucson</t>
  </si>
  <si>
    <t>Trailblazer</t>
  </si>
  <si>
    <t>RAV4</t>
  </si>
  <si>
    <t>Tiguan</t>
  </si>
  <si>
    <t>Renegade</t>
  </si>
  <si>
    <t>Duster</t>
  </si>
  <si>
    <t>HR-V</t>
  </si>
  <si>
    <t>Toro</t>
  </si>
  <si>
    <t>fev</t>
  </si>
  <si>
    <t>Veloster</t>
  </si>
  <si>
    <t>jun</t>
  </si>
  <si>
    <t>set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</si>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</sst>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rgb="FF1048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3" borderId="0" xfId="0" applyFill="1"/>
    <xf numFmtId="0" fontId="0" fillId="4" borderId="2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1" fillId="6" borderId="1" xfId="0" applyFont="1" applyFill="1" applyBorder="1" applyAlignment="1">
      <alignment horizontal="center" vertical="center"/>
    </xf>
    <xf numFmtId="165" fontId="0" fillId="3" borderId="0" xfId="1" applyNumberFormat="1" applyFont="1" applyFill="1"/>
    <xf numFmtId="165" fontId="0" fillId="4" borderId="2" xfId="1" applyNumberFormat="1" applyFont="1" applyFill="1" applyBorder="1"/>
    <xf numFmtId="165" fontId="0" fillId="0" borderId="0" xfId="1" applyNumberFormat="1" applyFont="1"/>
    <xf numFmtId="165" fontId="1" fillId="6" borderId="1" xfId="1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1" fillId="6" borderId="3" xfId="0" applyFont="1" applyFill="1" applyBorder="1" applyAlignment="1">
      <alignment horizontal="center" vertical="center"/>
    </xf>
    <xf numFmtId="0" fontId="7" fillId="0" borderId="0" xfId="2"/>
    <xf numFmtId="0" fontId="1" fillId="6" borderId="11" xfId="0" applyFont="1" applyFill="1" applyBorder="1" applyAlignment="1">
      <alignment horizontal="center" vertical="center"/>
    </xf>
    <xf numFmtId="165" fontId="1" fillId="6" borderId="1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5" fillId="0" borderId="0" xfId="0" applyNumberFormat="1" applyFont="1"/>
    <xf numFmtId="0" fontId="0" fillId="7" borderId="0" xfId="0" applyFill="1"/>
    <xf numFmtId="0" fontId="0" fillId="7" borderId="8" xfId="0" applyFill="1" applyBorder="1"/>
    <xf numFmtId="0" fontId="0" fillId="8" borderId="0" xfId="0" applyFill="1"/>
    <xf numFmtId="0" fontId="0" fillId="8" borderId="8" xfId="0" applyFill="1" applyBorder="1"/>
    <xf numFmtId="0" fontId="5" fillId="7" borderId="8" xfId="0" applyFont="1" applyFill="1" applyBorder="1" applyAlignment="1">
      <alignment horizontal="center" vertical="center"/>
    </xf>
    <xf numFmtId="0" fontId="5" fillId="8" borderId="0" xfId="0" applyFont="1" applyFill="1"/>
    <xf numFmtId="0" fontId="5" fillId="8" borderId="8" xfId="0" applyFont="1" applyFill="1" applyBorder="1"/>
    <xf numFmtId="0" fontId="5" fillId="7" borderId="0" xfId="0" applyFont="1" applyFill="1" applyAlignment="1">
      <alignment horizontal="center" vertical="center"/>
    </xf>
    <xf numFmtId="0" fontId="0" fillId="10" borderId="0" xfId="0" applyFill="1"/>
    <xf numFmtId="0" fontId="0" fillId="0" borderId="0" xfId="0" pivotButton="1"/>
    <xf numFmtId="0" fontId="1" fillId="6" borderId="12" xfId="0" applyFont="1" applyFill="1" applyBorder="1" applyAlignment="1">
      <alignment horizontal="center" vertical="center"/>
    </xf>
    <xf numFmtId="165" fontId="1" fillId="6" borderId="12" xfId="1" applyNumberFormat="1" applyFont="1" applyFill="1" applyBorder="1" applyAlignment="1">
      <alignment horizontal="center" vertical="center"/>
    </xf>
    <xf numFmtId="49" fontId="6" fillId="0" borderId="0" xfId="0" applyNumberFormat="1" applyFont="1"/>
    <xf numFmtId="49" fontId="0" fillId="0" borderId="0" xfId="0" applyNumberFormat="1"/>
    <xf numFmtId="0" fontId="0" fillId="2" borderId="0" xfId="0" applyFill="1"/>
    <xf numFmtId="14" fontId="6" fillId="11" borderId="13" xfId="0" applyNumberFormat="1" applyFont="1" applyFill="1" applyBorder="1" applyAlignment="1">
      <alignment horizontal="center" vertical="center"/>
    </xf>
    <xf numFmtId="14" fontId="6" fillId="0" borderId="13" xfId="0" applyNumberFormat="1" applyFont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14" fontId="6" fillId="11" borderId="15" xfId="0" applyNumberFormat="1" applyFont="1" applyFill="1" applyBorder="1" applyAlignment="1">
      <alignment horizontal="center" vertical="center"/>
    </xf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0" fontId="2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/>
    </xf>
    <xf numFmtId="0" fontId="7" fillId="5" borderId="1" xfId="2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8" fillId="9" borderId="0" xfId="0" applyFon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vertical="center" wrapText="1"/>
    </xf>
  </cellXfs>
  <cellStyles count="3">
    <cellStyle name="Hiperlink" xfId="2" builtinId="8"/>
    <cellStyle name="Moeda" xfId="1" builtinId="4"/>
    <cellStyle name="Normal" xfId="0" builtinId="0"/>
  </cellStyles>
  <dxfs count="277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5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1048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ont>
        <color theme="1"/>
      </font>
    </dxf>
    <dxf>
      <font>
        <b/>
        <i val="0"/>
        <sz val="14"/>
        <color theme="0"/>
      </font>
      <fill>
        <patternFill>
          <bgColor theme="3" tint="9.9948118533890809E-2"/>
        </patternFill>
      </fill>
      <border>
        <vertical/>
      </border>
    </dxf>
  </dxfs>
  <tableStyles count="2" defaultTableStyle="TableStyleMedium2" defaultPivotStyle="PivotStyleLight16">
    <tableStyle name="Estilo de Segmentação de Dados 1" pivot="0" table="0" count="5" xr9:uid="{932C525F-994B-4514-BE4D-DE1C4CB8149C}">
      <tableStyleElement type="wholeTable" dxfId="276"/>
    </tableStyle>
    <tableStyle name="Estilo de Segmentação de Dados 2" pivot="0" table="0" count="1" xr9:uid="{64F73852-A85B-48C8-A420-FA9E5525C245}">
      <tableStyleElement type="wholeTable" dxfId="275"/>
    </tableStyle>
  </tableStyles>
  <colors>
    <mruColors>
      <color rgb="FF0466F6"/>
      <color rgb="FF104862"/>
      <color rgb="FF4E96DE"/>
      <color rgb="FF151316"/>
    </mruColors>
  </colors>
  <extLst>
    <ext xmlns:x14="http://schemas.microsoft.com/office/spreadsheetml/2009/9/main" uri="{46F421CA-312F-682f-3DD2-61675219B42D}">
      <x14:dxfs count="4">
        <dxf>
          <fill>
            <patternFill>
              <bgColor rgb="FF4E96DE"/>
            </patternFill>
          </fill>
        </dxf>
        <dxf>
          <fill>
            <patternFill>
              <bgColor theme="3" tint="0.499984740745262"/>
            </patternFill>
          </fill>
        </dxf>
        <dxf>
          <fill>
            <patternFill>
              <bgColor theme="3" tint="0.499984740745262"/>
            </patternFill>
          </fill>
        </dxf>
        <dxf>
          <fill>
            <patternFill>
              <bgColor rgb="FF0466F6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 dxfId="0"/>
          </x14:slicerStyleElements>
        </x14:slicerStyle>
        <x14:slicerStyle name="Estilo de Segmentação de Dados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[concessionaria Joao e Carol - analise de dados (att) 1.xlsm]Planilha3!Tabela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solidFill>
                  <a:schemeClr val="bg1"/>
                </a:solidFill>
              </a:rPr>
              <a:t>Vendas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>
              <a:glow rad="76200">
                <a:schemeClr val="tx2">
                  <a:lumMod val="25000"/>
                  <a:lumOff val="75000"/>
                  <a:alpha val="32000"/>
                </a:schemeClr>
              </a:glow>
            </a:effectLst>
          </c:spPr>
          <c:invertIfNegative val="0"/>
          <c:cat>
            <c:strRef>
              <c:f>Planilha3!$C$4:$C$22</c:f>
              <c:strCache>
                <c:ptCount val="19"/>
                <c:pt idx="0">
                  <c:v>Chevrolet</c:v>
                </c:pt>
                <c:pt idx="1">
                  <c:v>Fiat</c:v>
                </c:pt>
                <c:pt idx="2">
                  <c:v>Honda</c:v>
                </c:pt>
                <c:pt idx="3">
                  <c:v>Renault</c:v>
                </c:pt>
                <c:pt idx="4">
                  <c:v>Toyota</c:v>
                </c:pt>
                <c:pt idx="5">
                  <c:v>Hyundai</c:v>
                </c:pt>
                <c:pt idx="6">
                  <c:v>Ford</c:v>
                </c:pt>
                <c:pt idx="7">
                  <c:v>Volkswagen</c:v>
                </c:pt>
                <c:pt idx="8">
                  <c:v>Nissan</c:v>
                </c:pt>
                <c:pt idx="9">
                  <c:v>Jeep</c:v>
                </c:pt>
                <c:pt idx="10">
                  <c:v>Peugeot</c:v>
                </c:pt>
                <c:pt idx="11">
                  <c:v>Citroën</c:v>
                </c:pt>
                <c:pt idx="12">
                  <c:v>Kia</c:v>
                </c:pt>
                <c:pt idx="13">
                  <c:v>BMW</c:v>
                </c:pt>
                <c:pt idx="14">
                  <c:v>Audi</c:v>
                </c:pt>
                <c:pt idx="15">
                  <c:v>Mercedes</c:v>
                </c:pt>
                <c:pt idx="16">
                  <c:v>Mitsubishi</c:v>
                </c:pt>
                <c:pt idx="17">
                  <c:v>Land Rover</c:v>
                </c:pt>
                <c:pt idx="18">
                  <c:v>Volvo</c:v>
                </c:pt>
              </c:strCache>
            </c:strRef>
          </c:cat>
          <c:val>
            <c:numRef>
              <c:f>Planilha3!$D$4:$D$22</c:f>
              <c:numCache>
                <c:formatCode>"R$"\ #,##0.00</c:formatCode>
                <c:ptCount val="19"/>
                <c:pt idx="0">
                  <c:v>318000</c:v>
                </c:pt>
                <c:pt idx="1">
                  <c:v>252000</c:v>
                </c:pt>
                <c:pt idx="2">
                  <c:v>291000</c:v>
                </c:pt>
                <c:pt idx="3">
                  <c:v>217000</c:v>
                </c:pt>
                <c:pt idx="4">
                  <c:v>595000</c:v>
                </c:pt>
                <c:pt idx="5">
                  <c:v>395000</c:v>
                </c:pt>
                <c:pt idx="6">
                  <c:v>320000</c:v>
                </c:pt>
                <c:pt idx="7">
                  <c:v>275000</c:v>
                </c:pt>
                <c:pt idx="8">
                  <c:v>240000</c:v>
                </c:pt>
                <c:pt idx="9">
                  <c:v>375000</c:v>
                </c:pt>
                <c:pt idx="10">
                  <c:v>240000</c:v>
                </c:pt>
                <c:pt idx="11">
                  <c:v>150000</c:v>
                </c:pt>
                <c:pt idx="12">
                  <c:v>235000</c:v>
                </c:pt>
                <c:pt idx="13">
                  <c:v>295000</c:v>
                </c:pt>
                <c:pt idx="14">
                  <c:v>275000</c:v>
                </c:pt>
                <c:pt idx="15">
                  <c:v>390000</c:v>
                </c:pt>
                <c:pt idx="16">
                  <c:v>195000</c:v>
                </c:pt>
                <c:pt idx="17">
                  <c:v>490000</c:v>
                </c:pt>
                <c:pt idx="18">
                  <c:v>395000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4-4540-B9EB-70AF697B1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860102575"/>
        <c:axId val="860119375"/>
      </c:barChart>
      <c:catAx>
        <c:axId val="86010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0119375"/>
        <c:crosses val="autoZero"/>
        <c:auto val="1"/>
        <c:lblAlgn val="ctr"/>
        <c:lblOffset val="100"/>
        <c:noMultiLvlLbl val="0"/>
      </c:catAx>
      <c:valAx>
        <c:axId val="860119375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0102575"/>
        <c:crosses val="autoZero"/>
        <c:crossBetween val="between"/>
      </c:valAx>
      <c:spPr>
        <a:noFill/>
        <a:ln>
          <a:noFill/>
        </a:ln>
        <a:effectLst>
          <a:glow rad="127000">
            <a:schemeClr val="bg1"/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90000"/>
        <a:lumOff val="10000"/>
      </a:schemeClr>
    </a:solidFill>
    <a:ln w="9525" cap="flat" cmpd="sng" algn="ctr">
      <a:noFill/>
      <a:round/>
    </a:ln>
    <a:effectLst>
      <a:glow rad="76200">
        <a:schemeClr val="bg1">
          <a:alpha val="32000"/>
        </a:schemeClr>
      </a:glow>
    </a:effectLst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[concessionaria Joao e Carol - analise de dados (att) 1.xlsm]Planilha3!Tabela dinâmica5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por Combustível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Planilha3!$L$4:$L$6</c:f>
              <c:strCache>
                <c:ptCount val="3"/>
                <c:pt idx="0">
                  <c:v>Álcool</c:v>
                </c:pt>
                <c:pt idx="1">
                  <c:v>Flex</c:v>
                </c:pt>
                <c:pt idx="2">
                  <c:v>Gasolina</c:v>
                </c:pt>
              </c:strCache>
            </c:strRef>
          </c:cat>
          <c:val>
            <c:numRef>
              <c:f>Planilha3!$M$4:$M$6</c:f>
              <c:numCache>
                <c:formatCode>"R$"\ #,##0.00</c:formatCode>
                <c:ptCount val="3"/>
                <c:pt idx="0">
                  <c:v>536000</c:v>
                </c:pt>
                <c:pt idx="1">
                  <c:v>2852000</c:v>
                </c:pt>
                <c:pt idx="2">
                  <c:v>2555000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6-44E5-8726-DEEAF9517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057146607"/>
        <c:axId val="1057140847"/>
      </c:barChart>
      <c:catAx>
        <c:axId val="105714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7140847"/>
        <c:crosses val="autoZero"/>
        <c:auto val="1"/>
        <c:lblAlgn val="ctr"/>
        <c:lblOffset val="100"/>
        <c:noMultiLvlLbl val="0"/>
      </c:catAx>
      <c:valAx>
        <c:axId val="1057140847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05714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90000"/>
        <a:lumOff val="10000"/>
      </a:schemeClr>
    </a:solidFill>
    <a:ln w="9525" cap="flat" cmpd="sng" algn="ctr">
      <a:noFill/>
      <a:round/>
    </a:ln>
    <a:effectLst>
      <a:glow rad="76200">
        <a:schemeClr val="bg1">
          <a:alpha val="32000"/>
        </a:schemeClr>
      </a:glow>
    </a:effectLst>
  </c:spPr>
  <c:txPr>
    <a:bodyPr/>
    <a:lstStyle/>
    <a:p>
      <a:pPr>
        <a:defRPr b="1" i="0" baseline="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[concessionaria Joao e Carol - analise de dados (att) 1.xlsm]Planilha3!Tabela dinâmica4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Vendas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Planilha3!$J$3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>
              <a:glow rad="76200">
                <a:schemeClr val="tx2">
                  <a:lumMod val="25000"/>
                  <a:lumOff val="75000"/>
                  <a:alpha val="32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Planilha3!$I$4:$I$5</c:f>
              <c:strCache>
                <c:ptCount val="2"/>
                <c:pt idx="0">
                  <c:v>0KM</c:v>
                </c:pt>
                <c:pt idx="1">
                  <c:v>SEMI NOVO</c:v>
                </c:pt>
              </c:strCache>
            </c:strRef>
          </c:cat>
          <c:val>
            <c:numRef>
              <c:f>Planilha3!$J$4:$J$5</c:f>
              <c:numCache>
                <c:formatCode>"R$"\ #,##0.00</c:formatCode>
                <c:ptCount val="2"/>
                <c:pt idx="0">
                  <c:v>3090000</c:v>
                </c:pt>
                <c:pt idx="1">
                  <c:v>2853000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16-4AED-8766-4BD7BBFA4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9973743"/>
        <c:axId val="1059969423"/>
      </c:barChart>
      <c:catAx>
        <c:axId val="10599737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9969423"/>
        <c:crosses val="autoZero"/>
        <c:auto val="1"/>
        <c:lblAlgn val="ctr"/>
        <c:lblOffset val="100"/>
        <c:noMultiLvlLbl val="0"/>
      </c:catAx>
      <c:valAx>
        <c:axId val="1059969423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059973743"/>
        <c:crosses val="autoZero"/>
        <c:crossBetween val="between"/>
      </c:valAx>
      <c:spPr>
        <a:noFill/>
        <a:ln>
          <a:noFill/>
        </a:ln>
        <a:effectLst>
          <a:glow rad="76200">
            <a:schemeClr val="tx2">
              <a:lumMod val="25000"/>
              <a:lumOff val="75000"/>
              <a:alpha val="32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90000"/>
        <a:lumOff val="10000"/>
      </a:schemeClr>
    </a:solidFill>
    <a:ln w="9525" cap="flat" cmpd="sng" algn="ctr">
      <a:noFill/>
      <a:round/>
    </a:ln>
    <a:effectLst>
      <a:glow rad="76200">
        <a:schemeClr val="bg1">
          <a:alpha val="32000"/>
        </a:schemeClr>
      </a:glow>
    </a:effectLst>
  </c:spPr>
  <c:txPr>
    <a:bodyPr/>
    <a:lstStyle/>
    <a:p>
      <a:pPr>
        <a:defRPr b="1" i="0" baseline="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[concessionaria Joao e Carol - analise de dados (att) 1.xlsm]Planilha3!Tabela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por Câmbio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10000"/>
              <a:lumOff val="90000"/>
            </a:schemeClr>
          </a:solidFill>
          <a:ln w="19050"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</c:pivotFmt>
      <c:pivotFmt>
        <c:idx val="6"/>
        <c:spPr>
          <a:solidFill>
            <a:schemeClr val="tx2">
              <a:lumMod val="50000"/>
              <a:lumOff val="50000"/>
            </a:schemeClr>
          </a:solidFill>
          <a:ln w="19050">
            <a:noFill/>
          </a:ln>
          <a:effectLst>
            <a:glow rad="76200">
              <a:schemeClr val="tx2">
                <a:lumMod val="25000"/>
                <a:lumOff val="75000"/>
                <a:alpha val="32000"/>
              </a:schemeClr>
            </a:glo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Planilha3!$P$3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effectLst>
              <a:glow rad="76200">
                <a:schemeClr val="tx2">
                  <a:lumMod val="25000"/>
                  <a:lumOff val="75000"/>
                  <a:alpha val="32000"/>
                </a:schemeClr>
              </a:glow>
            </a:effectLst>
          </c:spPr>
          <c:dPt>
            <c:idx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noFill/>
              </a:ln>
              <a:effectLst>
                <a:glow rad="76200">
                  <a:schemeClr val="tx2">
                    <a:lumMod val="25000"/>
                    <a:lumOff val="75000"/>
                    <a:alpha val="32000"/>
                  </a:schemeClr>
                </a:glow>
              </a:effectLst>
            </c:spPr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noFill/>
              </a:ln>
              <a:effectLst>
                <a:glow rad="76200">
                  <a:schemeClr val="tx2">
                    <a:lumMod val="25000"/>
                    <a:lumOff val="75000"/>
                    <a:alpha val="32000"/>
                  </a:schemeClr>
                </a:glow>
              </a:effectLst>
            </c:spPr>
          </c:dPt>
          <c:cat>
            <c:strRef>
              <c:f>Planilha3!$O$4:$O$5</c:f>
              <c:strCache>
                <c:ptCount val="2"/>
                <c:pt idx="0">
                  <c:v>Automático</c:v>
                </c:pt>
                <c:pt idx="1">
                  <c:v>Manual</c:v>
                </c:pt>
              </c:strCache>
            </c:strRef>
          </c:cat>
          <c:val>
            <c:numRef>
              <c:f>Planilha3!$P$4:$P$5</c:f>
              <c:numCache>
                <c:formatCode>"R$"\ #,##0.00</c:formatCode>
                <c:ptCount val="2"/>
                <c:pt idx="0">
                  <c:v>3671000</c:v>
                </c:pt>
                <c:pt idx="1">
                  <c:v>2272000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85-46C2-A6A9-1DD17A00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90000"/>
        <a:lumOff val="10000"/>
      </a:schemeClr>
    </a:solidFill>
    <a:ln w="9525" cap="flat" cmpd="sng" algn="ctr">
      <a:noFill/>
      <a:round/>
    </a:ln>
    <a:effectLst>
      <a:glow rad="76200">
        <a:schemeClr val="bg1">
          <a:alpha val="32000"/>
        </a:schemeClr>
      </a:glow>
    </a:effectLst>
  </c:spPr>
  <c:txPr>
    <a:bodyPr/>
    <a:lstStyle/>
    <a:p>
      <a:pPr>
        <a:defRPr b="1" i="0" baseline="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[concessionaria Joao e Carol - analise de dados (att) 1.xlsm]Planilha3!Tabela dinâmica2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por Modelo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>
            <a:glow rad="50800">
              <a:schemeClr val="tx2">
                <a:lumMod val="25000"/>
                <a:lumOff val="75000"/>
                <a:alpha val="32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Planilha3!$G$3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>
              <a:glow rad="50800">
                <a:schemeClr val="tx2">
                  <a:lumMod val="25000"/>
                  <a:lumOff val="75000"/>
                  <a:alpha val="32000"/>
                </a:schemeClr>
              </a:glow>
            </a:effectLst>
          </c:spPr>
          <c:marker>
            <c:symbol val="none"/>
          </c:marker>
          <c:cat>
            <c:strRef>
              <c:f>Planilha3!$F$4:$F$40</c:f>
              <c:strCache>
                <c:ptCount val="37"/>
                <c:pt idx="0">
                  <c:v>Agile</c:v>
                </c:pt>
                <c:pt idx="1">
                  <c:v>Civic</c:v>
                </c:pt>
                <c:pt idx="2">
                  <c:v>Corolla</c:v>
                </c:pt>
                <c:pt idx="3">
                  <c:v>Etios</c:v>
                </c:pt>
                <c:pt idx="4">
                  <c:v>Mobi</c:v>
                </c:pt>
                <c:pt idx="5">
                  <c:v>Punto</c:v>
                </c:pt>
                <c:pt idx="6">
                  <c:v>Sandero</c:v>
                </c:pt>
                <c:pt idx="7">
                  <c:v>i30</c:v>
                </c:pt>
                <c:pt idx="8">
                  <c:v>Veloster</c:v>
                </c:pt>
                <c:pt idx="9">
                  <c:v>Focus</c:v>
                </c:pt>
                <c:pt idx="10">
                  <c:v>Onix</c:v>
                </c:pt>
                <c:pt idx="11">
                  <c:v>Golf</c:v>
                </c:pt>
                <c:pt idx="12">
                  <c:v>HB20</c:v>
                </c:pt>
                <c:pt idx="13">
                  <c:v>Sentra</c:v>
                </c:pt>
                <c:pt idx="14">
                  <c:v>Compass</c:v>
                </c:pt>
                <c:pt idx="15">
                  <c:v>Argo</c:v>
                </c:pt>
                <c:pt idx="16">
                  <c:v>208</c:v>
                </c:pt>
                <c:pt idx="17">
                  <c:v>C4 Cactus</c:v>
                </c:pt>
                <c:pt idx="18">
                  <c:v>Sportage</c:v>
                </c:pt>
                <c:pt idx="19">
                  <c:v>Série 3</c:v>
                </c:pt>
                <c:pt idx="20">
                  <c:v>A4</c:v>
                </c:pt>
                <c:pt idx="21">
                  <c:v>Classe C</c:v>
                </c:pt>
                <c:pt idx="22">
                  <c:v>Ecosport</c:v>
                </c:pt>
                <c:pt idx="23">
                  <c:v>Outlander</c:v>
                </c:pt>
                <c:pt idx="24">
                  <c:v>Evoque</c:v>
                </c:pt>
                <c:pt idx="25">
                  <c:v>XC60</c:v>
                </c:pt>
                <c:pt idx="26">
                  <c:v>Kicks</c:v>
                </c:pt>
                <c:pt idx="27">
                  <c:v>Tucson</c:v>
                </c:pt>
                <c:pt idx="28">
                  <c:v>Trailblazer</c:v>
                </c:pt>
                <c:pt idx="29">
                  <c:v>RAV4</c:v>
                </c:pt>
                <c:pt idx="30">
                  <c:v>Tiguan</c:v>
                </c:pt>
                <c:pt idx="31">
                  <c:v>Renegade</c:v>
                </c:pt>
                <c:pt idx="32">
                  <c:v>Duster</c:v>
                </c:pt>
                <c:pt idx="33">
                  <c:v>HR-V</c:v>
                </c:pt>
                <c:pt idx="34">
                  <c:v>Toro</c:v>
                </c:pt>
                <c:pt idx="35">
                  <c:v>3008</c:v>
                </c:pt>
                <c:pt idx="36">
                  <c:v>Versa</c:v>
                </c:pt>
              </c:strCache>
            </c:strRef>
          </c:cat>
          <c:val>
            <c:numRef>
              <c:f>Planilha3!$G$4:$G$40</c:f>
              <c:numCache>
                <c:formatCode>"R$"\ #,##0.00</c:formatCode>
                <c:ptCount val="37"/>
                <c:pt idx="0">
                  <c:v>28000</c:v>
                </c:pt>
                <c:pt idx="1">
                  <c:v>196000</c:v>
                </c:pt>
                <c:pt idx="2">
                  <c:v>375000</c:v>
                </c:pt>
                <c:pt idx="3">
                  <c:v>80000</c:v>
                </c:pt>
                <c:pt idx="4">
                  <c:v>26000</c:v>
                </c:pt>
                <c:pt idx="5">
                  <c:v>21000</c:v>
                </c:pt>
                <c:pt idx="6">
                  <c:v>137000</c:v>
                </c:pt>
                <c:pt idx="7">
                  <c:v>90000</c:v>
                </c:pt>
                <c:pt idx="8">
                  <c:v>60000</c:v>
                </c:pt>
                <c:pt idx="9">
                  <c:v>175000</c:v>
                </c:pt>
                <c:pt idx="10">
                  <c:v>140000</c:v>
                </c:pt>
                <c:pt idx="11">
                  <c:v>150000</c:v>
                </c:pt>
                <c:pt idx="12">
                  <c:v>125000</c:v>
                </c:pt>
                <c:pt idx="13">
                  <c:v>125000</c:v>
                </c:pt>
                <c:pt idx="14">
                  <c:v>265000</c:v>
                </c:pt>
                <c:pt idx="15">
                  <c:v>95000</c:v>
                </c:pt>
                <c:pt idx="16">
                  <c:v>110000</c:v>
                </c:pt>
                <c:pt idx="17">
                  <c:v>150000</c:v>
                </c:pt>
                <c:pt idx="18">
                  <c:v>235000</c:v>
                </c:pt>
                <c:pt idx="19">
                  <c:v>295000</c:v>
                </c:pt>
                <c:pt idx="20">
                  <c:v>275000</c:v>
                </c:pt>
                <c:pt idx="21">
                  <c:v>390000</c:v>
                </c:pt>
                <c:pt idx="22">
                  <c:v>145000</c:v>
                </c:pt>
                <c:pt idx="23">
                  <c:v>195000</c:v>
                </c:pt>
                <c:pt idx="24">
                  <c:v>490000</c:v>
                </c:pt>
                <c:pt idx="25">
                  <c:v>395000</c:v>
                </c:pt>
                <c:pt idx="26">
                  <c:v>90000</c:v>
                </c:pt>
                <c:pt idx="27">
                  <c:v>120000</c:v>
                </c:pt>
                <c:pt idx="28">
                  <c:v>150000</c:v>
                </c:pt>
                <c:pt idx="29">
                  <c:v>140000</c:v>
                </c:pt>
                <c:pt idx="30">
                  <c:v>125000</c:v>
                </c:pt>
                <c:pt idx="31">
                  <c:v>110000</c:v>
                </c:pt>
                <c:pt idx="32">
                  <c:v>80000</c:v>
                </c:pt>
                <c:pt idx="33">
                  <c:v>95000</c:v>
                </c:pt>
                <c:pt idx="34">
                  <c:v>110000</c:v>
                </c:pt>
                <c:pt idx="35">
                  <c:v>130000</c:v>
                </c:pt>
                <c:pt idx="36">
                  <c:v>25000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A5B-4A76-8884-B3F3E75C2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7149967"/>
        <c:axId val="1057131247"/>
      </c:lineChart>
      <c:catAx>
        <c:axId val="105714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7131247"/>
        <c:crosses val="autoZero"/>
        <c:auto val="1"/>
        <c:lblAlgn val="ctr"/>
        <c:lblOffset val="100"/>
        <c:noMultiLvlLbl val="0"/>
      </c:catAx>
      <c:valAx>
        <c:axId val="1057131247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714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90000"/>
        <a:lumOff val="10000"/>
      </a:schemeClr>
    </a:solidFill>
    <a:ln w="9525" cap="flat" cmpd="sng" algn="ctr">
      <a:noFill/>
      <a:round/>
    </a:ln>
    <a:effectLst>
      <a:glow rad="76200">
        <a:schemeClr val="bg1">
          <a:alpha val="32000"/>
        </a:schemeClr>
      </a:glow>
    </a:effectLst>
  </c:spPr>
  <c:txPr>
    <a:bodyPr/>
    <a:lstStyle/>
    <a:p>
      <a:pPr>
        <a:defRPr b="1" i="0" baseline="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Radio" firstButton="1" fmlaLink="$Z$9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Radio" checked="Checked" firstButton="1" fmlaLink="$AC$9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Dashboard!B3"/><Relationship Id="rId3" Type="http://schemas.openxmlformats.org/officeDocument/2006/relationships/image" Target="../media/image2.png"/><Relationship Id="rId7" Type="http://schemas.openxmlformats.org/officeDocument/2006/relationships/hyperlink" Target="#Cadastro!B3"/><Relationship Id="rId12" Type="http://schemas.microsoft.com/office/2007/relationships/hdphoto" Target="../media/hdphoto3.wdp"/><Relationship Id="rId2" Type="http://schemas.openxmlformats.org/officeDocument/2006/relationships/image" Target="../media/image1.png"/><Relationship Id="rId1" Type="http://schemas.openxmlformats.org/officeDocument/2006/relationships/hyperlink" Target="#Home!B3"/><Relationship Id="rId6" Type="http://schemas.microsoft.com/office/2007/relationships/hdphoto" Target="../media/hdphoto1.wdp"/><Relationship Id="rId11" Type="http://schemas.openxmlformats.org/officeDocument/2006/relationships/image" Target="../media/image5.png"/><Relationship Id="rId5" Type="http://schemas.openxmlformats.org/officeDocument/2006/relationships/image" Target="../media/image3.png"/><Relationship Id="rId15" Type="http://schemas.microsoft.com/office/2007/relationships/hdphoto" Target="../media/hdphoto4.wdp"/><Relationship Id="rId10" Type="http://schemas.openxmlformats.org/officeDocument/2006/relationships/hyperlink" Target="#Vendas!B3"/><Relationship Id="rId4" Type="http://schemas.openxmlformats.org/officeDocument/2006/relationships/hyperlink" Target="#Registros!B3"/><Relationship Id="rId9" Type="http://schemas.microsoft.com/office/2007/relationships/hdphoto" Target="../media/hdphoto2.wdp"/><Relationship Id="rId1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ashboard!B3"/><Relationship Id="rId13" Type="http://schemas.microsoft.com/office/2007/relationships/hdphoto" Target="../media/hdphoto5.wdp"/><Relationship Id="rId18" Type="http://schemas.openxmlformats.org/officeDocument/2006/relationships/image" Target="../media/image8.png"/><Relationship Id="rId3" Type="http://schemas.openxmlformats.org/officeDocument/2006/relationships/image" Target="../media/image4.png"/><Relationship Id="rId7" Type="http://schemas.microsoft.com/office/2007/relationships/hdphoto" Target="../media/hdphoto3.wdp"/><Relationship Id="rId12" Type="http://schemas.openxmlformats.org/officeDocument/2006/relationships/image" Target="../media/image7.png"/><Relationship Id="rId17" Type="http://schemas.openxmlformats.org/officeDocument/2006/relationships/hyperlink" Target="#Registros!B3"/><Relationship Id="rId2" Type="http://schemas.openxmlformats.org/officeDocument/2006/relationships/hyperlink" Target="#Cadastro!B3"/><Relationship Id="rId16" Type="http://schemas.openxmlformats.org/officeDocument/2006/relationships/hyperlink" Target="#'Red-usuario'!E4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Home!B3"/><Relationship Id="rId5" Type="http://schemas.openxmlformats.org/officeDocument/2006/relationships/hyperlink" Target="#Vendas!B3"/><Relationship Id="rId15" Type="http://schemas.openxmlformats.org/officeDocument/2006/relationships/hyperlink" Target="#'Red-veiculo'!E4"/><Relationship Id="rId10" Type="http://schemas.microsoft.com/office/2007/relationships/hdphoto" Target="../media/hdphoto4.wdp"/><Relationship Id="rId4" Type="http://schemas.microsoft.com/office/2007/relationships/hdphoto" Target="../media/hdphoto2.wdp"/><Relationship Id="rId9" Type="http://schemas.openxmlformats.org/officeDocument/2006/relationships/image" Target="../media/image6.png"/><Relationship Id="rId14" Type="http://schemas.openxmlformats.org/officeDocument/2006/relationships/hyperlink" Target="#'Cad-veiculo'!I9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Home!B3"/><Relationship Id="rId3" Type="http://schemas.openxmlformats.org/officeDocument/2006/relationships/image" Target="../media/image8.png"/><Relationship Id="rId7" Type="http://schemas.openxmlformats.org/officeDocument/2006/relationships/hyperlink" Target="#Vendas!B3"/><Relationship Id="rId12" Type="http://schemas.microsoft.com/office/2007/relationships/hdphoto" Target="../media/hdphoto6.wdp"/><Relationship Id="rId2" Type="http://schemas.openxmlformats.org/officeDocument/2006/relationships/hyperlink" Target="#Registros!B3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5" Type="http://schemas.microsoft.com/office/2007/relationships/hdphoto" Target="../media/hdphoto5.wdp"/><Relationship Id="rId10" Type="http://schemas.openxmlformats.org/officeDocument/2006/relationships/hyperlink" Target="#Dashboard!B3"/><Relationship Id="rId4" Type="http://schemas.openxmlformats.org/officeDocument/2006/relationships/hyperlink" Target="#Cadastro!B3"/><Relationship Id="rId9" Type="http://schemas.microsoft.com/office/2007/relationships/hdphoto" Target="../media/hdphoto3.wdp"/><Relationship Id="rId1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Home!B3"/><Relationship Id="rId3" Type="http://schemas.openxmlformats.org/officeDocument/2006/relationships/image" Target="../media/image8.png"/><Relationship Id="rId7" Type="http://schemas.openxmlformats.org/officeDocument/2006/relationships/hyperlink" Target="#Vendas!B3"/><Relationship Id="rId12" Type="http://schemas.microsoft.com/office/2007/relationships/hdphoto" Target="../media/hdphoto4.wdp"/><Relationship Id="rId2" Type="http://schemas.openxmlformats.org/officeDocument/2006/relationships/hyperlink" Target="#Registros!B3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5" Type="http://schemas.microsoft.com/office/2007/relationships/hdphoto" Target="../media/hdphoto5.wdp"/><Relationship Id="rId10" Type="http://schemas.openxmlformats.org/officeDocument/2006/relationships/hyperlink" Target="#Dashboard!B3"/><Relationship Id="rId4" Type="http://schemas.openxmlformats.org/officeDocument/2006/relationships/hyperlink" Target="#Cadastro!B3"/><Relationship Id="rId9" Type="http://schemas.microsoft.com/office/2007/relationships/hdphoto" Target="../media/hdphoto3.wdp"/><Relationship Id="rId1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adastro!B3"/><Relationship Id="rId13" Type="http://schemas.openxmlformats.org/officeDocument/2006/relationships/hyperlink" Target="#Dashboard!B3"/><Relationship Id="rId3" Type="http://schemas.openxmlformats.org/officeDocument/2006/relationships/image" Target="../media/image7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hyperlink" Target="#'Cad-usuario'!I9"/><Relationship Id="rId2" Type="http://schemas.openxmlformats.org/officeDocument/2006/relationships/hyperlink" Target="#Home!B3"/><Relationship Id="rId16" Type="http://schemas.openxmlformats.org/officeDocument/2006/relationships/hyperlink" Target="#'Cad-veiculo'!I9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hyperlink" Target="#Registros!B3"/><Relationship Id="rId15" Type="http://schemas.microsoft.com/office/2007/relationships/hdphoto" Target="../media/hdphoto4.wdp"/><Relationship Id="rId10" Type="http://schemas.openxmlformats.org/officeDocument/2006/relationships/hyperlink" Target="#Vendas!B3"/><Relationship Id="rId4" Type="http://schemas.microsoft.com/office/2007/relationships/hdphoto" Target="../media/hdphoto5.wdp"/><Relationship Id="rId9" Type="http://schemas.openxmlformats.org/officeDocument/2006/relationships/image" Target="../media/image10.png"/><Relationship Id="rId1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adastro!B3"/><Relationship Id="rId13" Type="http://schemas.openxmlformats.org/officeDocument/2006/relationships/hyperlink" Target="#Dashboard!B3"/><Relationship Id="rId3" Type="http://schemas.openxmlformats.org/officeDocument/2006/relationships/image" Target="../media/image7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2" Type="http://schemas.openxmlformats.org/officeDocument/2006/relationships/hyperlink" Target="#Home!B3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hyperlink" Target="#Registros!B3"/><Relationship Id="rId15" Type="http://schemas.microsoft.com/office/2007/relationships/hdphoto" Target="../media/hdphoto4.wdp"/><Relationship Id="rId10" Type="http://schemas.openxmlformats.org/officeDocument/2006/relationships/hyperlink" Target="#Vendas!B3"/><Relationship Id="rId4" Type="http://schemas.microsoft.com/office/2007/relationships/hdphoto" Target="../media/hdphoto5.wdp"/><Relationship Id="rId9" Type="http://schemas.openxmlformats.org/officeDocument/2006/relationships/image" Target="../media/image10.png"/><Relationship Id="rId1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adastro!B3"/><Relationship Id="rId13" Type="http://schemas.openxmlformats.org/officeDocument/2006/relationships/hyperlink" Target="#Dashboard!B3"/><Relationship Id="rId3" Type="http://schemas.openxmlformats.org/officeDocument/2006/relationships/image" Target="../media/image7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2" Type="http://schemas.openxmlformats.org/officeDocument/2006/relationships/hyperlink" Target="#Home!B3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hyperlink" Target="#Registros!B3"/><Relationship Id="rId15" Type="http://schemas.microsoft.com/office/2007/relationships/hdphoto" Target="../media/hdphoto4.wdp"/><Relationship Id="rId10" Type="http://schemas.openxmlformats.org/officeDocument/2006/relationships/hyperlink" Target="#Vendas!B3"/><Relationship Id="rId4" Type="http://schemas.microsoft.com/office/2007/relationships/hdphoto" Target="../media/hdphoto5.wdp"/><Relationship Id="rId9" Type="http://schemas.openxmlformats.org/officeDocument/2006/relationships/image" Target="../media/image10.png"/><Relationship Id="rId1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adastro!B3"/><Relationship Id="rId13" Type="http://schemas.openxmlformats.org/officeDocument/2006/relationships/hyperlink" Target="#Dashboard!B3"/><Relationship Id="rId3" Type="http://schemas.openxmlformats.org/officeDocument/2006/relationships/image" Target="../media/image11.png"/><Relationship Id="rId7" Type="http://schemas.microsoft.com/office/2007/relationships/hdphoto" Target="../media/hdphoto1.wdp"/><Relationship Id="rId12" Type="http://schemas.microsoft.com/office/2007/relationships/hdphoto" Target="../media/hdphoto8.wdp"/><Relationship Id="rId2" Type="http://schemas.openxmlformats.org/officeDocument/2006/relationships/hyperlink" Target="#Home!B3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12.png"/><Relationship Id="rId5" Type="http://schemas.openxmlformats.org/officeDocument/2006/relationships/hyperlink" Target="#Registros!B3"/><Relationship Id="rId15" Type="http://schemas.microsoft.com/office/2007/relationships/hdphoto" Target="../media/hdphoto4.wdp"/><Relationship Id="rId10" Type="http://schemas.microsoft.com/office/2007/relationships/hdphoto" Target="../media/hdphoto2.wdp"/><Relationship Id="rId4" Type="http://schemas.microsoft.com/office/2007/relationships/hdphoto" Target="../media/hdphoto7.wdp"/><Relationship Id="rId9" Type="http://schemas.openxmlformats.org/officeDocument/2006/relationships/image" Target="../media/image4.png"/><Relationship Id="rId14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adastro!B3"/><Relationship Id="rId13" Type="http://schemas.microsoft.com/office/2007/relationships/hdphoto" Target="../media/hdphoto3.wdp"/><Relationship Id="rId18" Type="http://schemas.openxmlformats.org/officeDocument/2006/relationships/chart" Target="../charts/chart3.xml"/><Relationship Id="rId3" Type="http://schemas.openxmlformats.org/officeDocument/2006/relationships/image" Target="../media/image13.png"/><Relationship Id="rId7" Type="http://schemas.microsoft.com/office/2007/relationships/hdphoto" Target="../media/hdphoto1.wdp"/><Relationship Id="rId12" Type="http://schemas.openxmlformats.org/officeDocument/2006/relationships/image" Target="../media/image5.png"/><Relationship Id="rId17" Type="http://schemas.openxmlformats.org/officeDocument/2006/relationships/chart" Target="../charts/chart2.xml"/><Relationship Id="rId2" Type="http://schemas.openxmlformats.org/officeDocument/2006/relationships/hyperlink" Target="#Home!B3"/><Relationship Id="rId16" Type="http://schemas.openxmlformats.org/officeDocument/2006/relationships/chart" Target="../charts/chart1.xml"/><Relationship Id="rId20" Type="http://schemas.openxmlformats.org/officeDocument/2006/relationships/chart" Target="../charts/chart5.xm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hyperlink" Target="#Vendas!B3"/><Relationship Id="rId5" Type="http://schemas.openxmlformats.org/officeDocument/2006/relationships/hyperlink" Target="#Registros!B3"/><Relationship Id="rId15" Type="http://schemas.microsoft.com/office/2007/relationships/hdphoto" Target="../media/hdphoto10.wdp"/><Relationship Id="rId10" Type="http://schemas.microsoft.com/office/2007/relationships/hdphoto" Target="../media/hdphoto2.wdp"/><Relationship Id="rId19" Type="http://schemas.openxmlformats.org/officeDocument/2006/relationships/chart" Target="../charts/chart4.xml"/><Relationship Id="rId4" Type="http://schemas.microsoft.com/office/2007/relationships/hdphoto" Target="../media/hdphoto9.wdp"/><Relationship Id="rId9" Type="http://schemas.openxmlformats.org/officeDocument/2006/relationships/image" Target="../media/image4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31824</xdr:colOff>
      <xdr:row>10</xdr:row>
      <xdr:rowOff>31825</xdr:rowOff>
    </xdr:from>
    <xdr:to>
      <xdr:col>20</xdr:col>
      <xdr:colOff>229944</xdr:colOff>
      <xdr:row>25</xdr:row>
      <xdr:rowOff>31825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99024" y="2810884"/>
          <a:ext cx="8122920" cy="2689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5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3500" b="1" baseline="0">
              <a:latin typeface="Arial" panose="020B0604020202020204" pitchFamily="34" charset="0"/>
              <a:cs typeface="Arial" panose="020B0604020202020204" pitchFamily="34" charset="0"/>
            </a:rPr>
            <a:t>  FINANCEIRO  </a:t>
          </a:r>
        </a:p>
        <a:p>
          <a:pPr algn="ctr"/>
          <a:r>
            <a:rPr lang="pt-BR" sz="3000" b="1" baseline="0">
              <a:latin typeface="Arial" panose="020B0604020202020204" pitchFamily="34" charset="0"/>
              <a:cs typeface="Arial" panose="020B0604020202020204" pitchFamily="34" charset="0"/>
            </a:rPr>
            <a:t>CONCESSIONÁRIA </a:t>
          </a:r>
          <a:r>
            <a:rPr lang="pt-BR" sz="3000" b="1" baseline="0">
              <a:solidFill>
                <a:schemeClr val="tx2">
                  <a:lumMod val="90000"/>
                  <a:lumOff val="1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DRIVEX</a:t>
          </a:r>
          <a:endParaRPr lang="pt-BR" sz="3000" b="1">
            <a:solidFill>
              <a:schemeClr val="tx2">
                <a:lumMod val="90000"/>
                <a:lumOff val="1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137160</xdr:colOff>
      <xdr:row>0</xdr:row>
      <xdr:rowOff>1</xdr:rowOff>
    </xdr:from>
    <xdr:to>
      <xdr:col>5</xdr:col>
      <xdr:colOff>487680</xdr:colOff>
      <xdr:row>1</xdr:row>
      <xdr:rowOff>8965</xdr:rowOff>
    </xdr:to>
    <xdr:grpSp>
      <xdr:nvGrpSpPr>
        <xdr:cNvPr id="31" name="Agrupar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2575560" y="1"/>
          <a:ext cx="960120" cy="869576"/>
          <a:chOff x="2575560" y="0"/>
          <a:chExt cx="960120" cy="879661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575560" y="0"/>
            <a:ext cx="960120" cy="87966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1886"/>
            <a:ext cx="486000" cy="502410"/>
          </a:xfrm>
          <a:prstGeom prst="rect">
            <a:avLst/>
          </a:prstGeom>
        </xdr:spPr>
      </xdr:pic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2644589" y="600635"/>
            <a:ext cx="815789" cy="20618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2" name="Agrupar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534784" y="8966"/>
          <a:ext cx="960120" cy="833718"/>
          <a:chOff x="3534784" y="8966"/>
          <a:chExt cx="960120" cy="83371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0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188260</xdr:colOff>
      <xdr:row>0</xdr:row>
      <xdr:rowOff>1</xdr:rowOff>
    </xdr:from>
    <xdr:to>
      <xdr:col>9</xdr:col>
      <xdr:colOff>152400</xdr:colOff>
      <xdr:row>0</xdr:row>
      <xdr:rowOff>833719</xdr:rowOff>
    </xdr:to>
    <xdr:grpSp>
      <xdr:nvGrpSpPr>
        <xdr:cNvPr id="4" name="Agrupar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455460" y="1"/>
          <a:ext cx="1183340" cy="833718"/>
          <a:chOff x="4455460" y="1"/>
          <a:chExt cx="1183340" cy="83371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4556760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90066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4455460" y="627528"/>
            <a:ext cx="1183340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38547</xdr:colOff>
      <xdr:row>0</xdr:row>
      <xdr:rowOff>0</xdr:rowOff>
    </xdr:from>
    <xdr:to>
      <xdr:col>10</xdr:col>
      <xdr:colOff>389067</xdr:colOff>
      <xdr:row>0</xdr:row>
      <xdr:rowOff>833718</xdr:rowOff>
    </xdr:to>
    <xdr:grpSp>
      <xdr:nvGrpSpPr>
        <xdr:cNvPr id="41" name="Agrupar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5524947" y="0"/>
          <a:ext cx="960120" cy="833718"/>
          <a:chOff x="3534784" y="1"/>
          <a:chExt cx="960120" cy="833718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280594</xdr:colOff>
      <xdr:row>0</xdr:row>
      <xdr:rowOff>0</xdr:rowOff>
    </xdr:from>
    <xdr:to>
      <xdr:col>12</xdr:col>
      <xdr:colOff>430306</xdr:colOff>
      <xdr:row>0</xdr:row>
      <xdr:rowOff>833718</xdr:rowOff>
    </xdr:to>
    <xdr:grpSp>
      <xdr:nvGrpSpPr>
        <xdr:cNvPr id="50" name="Agrupar 4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6376594" y="0"/>
          <a:ext cx="1368912" cy="833718"/>
          <a:chOff x="6376594" y="0"/>
          <a:chExt cx="1368912" cy="833718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6376594" y="0"/>
            <a:ext cx="1368912" cy="833718"/>
            <a:chOff x="3534784" y="1"/>
            <a:chExt cx="960120" cy="83371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33794" y="89646"/>
            <a:ext cx="486000" cy="48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233083</xdr:colOff>
      <xdr:row>0</xdr:row>
      <xdr:rowOff>0</xdr:rowOff>
    </xdr:from>
    <xdr:to>
      <xdr:col>9</xdr:col>
      <xdr:colOff>197223</xdr:colOff>
      <xdr:row>0</xdr:row>
      <xdr:rowOff>833718</xdr:rowOff>
    </xdr:to>
    <xdr:grpSp>
      <xdr:nvGrpSpPr>
        <xdr:cNvPr id="37" name="Agrupar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4500283" y="0"/>
          <a:ext cx="1308846" cy="833718"/>
          <a:chOff x="4500283" y="0"/>
          <a:chExt cx="1308846" cy="83371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4661905" y="0"/>
            <a:ext cx="1061951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945729" y="90090"/>
            <a:ext cx="486000" cy="486000"/>
          </a:xfrm>
          <a:prstGeom prst="rect">
            <a:avLst/>
          </a:prstGeom>
        </xdr:spPr>
      </xdr:pic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4500283" y="609598"/>
            <a:ext cx="1308846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173017</xdr:colOff>
      <xdr:row>0</xdr:row>
      <xdr:rowOff>0</xdr:rowOff>
    </xdr:from>
    <xdr:to>
      <xdr:col>10</xdr:col>
      <xdr:colOff>523537</xdr:colOff>
      <xdr:row>0</xdr:row>
      <xdr:rowOff>833718</xdr:rowOff>
    </xdr:to>
    <xdr:grpSp>
      <xdr:nvGrpSpPr>
        <xdr:cNvPr id="13" name="Agrupar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5784923" y="0"/>
          <a:ext cx="1130449" cy="833718"/>
          <a:chOff x="3534784" y="1"/>
          <a:chExt cx="960120" cy="83371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388169</xdr:colOff>
      <xdr:row>0</xdr:row>
      <xdr:rowOff>0</xdr:rowOff>
    </xdr:from>
    <xdr:to>
      <xdr:col>12</xdr:col>
      <xdr:colOff>537881</xdr:colOff>
      <xdr:row>0</xdr:row>
      <xdr:rowOff>833718</xdr:rowOff>
    </xdr:to>
    <xdr:grpSp>
      <xdr:nvGrpSpPr>
        <xdr:cNvPr id="5" name="Agrupar 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6780004" y="0"/>
          <a:ext cx="1799218" cy="833718"/>
          <a:chOff x="6780004" y="0"/>
          <a:chExt cx="1790253" cy="833718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780004" y="0"/>
            <a:ext cx="1790253" cy="833718"/>
            <a:chOff x="3534784" y="1"/>
            <a:chExt cx="960120" cy="833718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5170" y="134470"/>
            <a:ext cx="541426" cy="414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56479</xdr:colOff>
      <xdr:row>0</xdr:row>
      <xdr:rowOff>0</xdr:rowOff>
    </xdr:from>
    <xdr:to>
      <xdr:col>5</xdr:col>
      <xdr:colOff>406999</xdr:colOff>
      <xdr:row>0</xdr:row>
      <xdr:rowOff>770362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494879" y="0"/>
          <a:ext cx="960120" cy="770362"/>
          <a:chOff x="2494879" y="0"/>
          <a:chExt cx="960120" cy="770362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2494879" y="0"/>
            <a:ext cx="960120" cy="65177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2635625" y="591820"/>
            <a:ext cx="815789" cy="178542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644" y="67272"/>
            <a:ext cx="486000" cy="496650"/>
          </a:xfrm>
          <a:prstGeom prst="rect">
            <a:avLst/>
          </a:prstGeom>
          <a:solidFill>
            <a:srgbClr val="151316"/>
          </a:solidFill>
        </xdr:spPr>
      </xdr:pic>
    </xdr:grpSp>
    <xdr:clientData/>
  </xdr:twoCellAnchor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29" name="Retângulo: Cantos Arredondados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08847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</a:t>
          </a:r>
        </a:p>
      </xdr:txBody>
    </xdr:sp>
    <xdr:clientData/>
  </xdr:twoCellAnchor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30" name="Agrupar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33" name="Retângulo: Cantos Arredondados 3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08847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VEÍCULOS</a:t>
          </a:r>
        </a:p>
      </xdr:txBody>
    </xdr:sp>
    <xdr:clientData/>
  </xdr:twoCellAnchor>
  <xdr:twoCellAnchor>
    <xdr:from>
      <xdr:col>4</xdr:col>
      <xdr:colOff>35859</xdr:colOff>
      <xdr:row>1</xdr:row>
      <xdr:rowOff>116541</xdr:rowOff>
    </xdr:from>
    <xdr:to>
      <xdr:col>5</xdr:col>
      <xdr:colOff>403412</xdr:colOff>
      <xdr:row>1</xdr:row>
      <xdr:rowOff>367553</xdr:rowOff>
    </xdr:to>
    <xdr:sp macro="" textlink="">
      <xdr:nvSpPr>
        <xdr:cNvPr id="34" name="Retângulo: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2474259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USUÁRIOS</a:t>
          </a:r>
        </a:p>
      </xdr:txBody>
    </xdr:sp>
    <xdr:clientData/>
  </xdr:twoCellAnchor>
  <xdr:twoCellAnchor>
    <xdr:from>
      <xdr:col>5</xdr:col>
      <xdr:colOff>98611</xdr:colOff>
      <xdr:row>5</xdr:row>
      <xdr:rowOff>26894</xdr:rowOff>
    </xdr:from>
    <xdr:to>
      <xdr:col>17</xdr:col>
      <xdr:colOff>189155</xdr:colOff>
      <xdr:row>12</xdr:row>
      <xdr:rowOff>376518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3146611" y="2312894"/>
          <a:ext cx="8122920" cy="2689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5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3500" b="1" baseline="0">
              <a:latin typeface="Arial" panose="020B0604020202020204" pitchFamily="34" charset="0"/>
              <a:cs typeface="Arial" panose="020B0604020202020204" pitchFamily="34" charset="0"/>
            </a:rPr>
            <a:t>  FINANCEIRO  </a:t>
          </a:r>
        </a:p>
        <a:p>
          <a:pPr algn="ctr"/>
          <a:r>
            <a:rPr lang="pt-BR" sz="3000" b="1" baseline="0">
              <a:latin typeface="Arial" panose="020B0604020202020204" pitchFamily="34" charset="0"/>
              <a:cs typeface="Arial" panose="020B0604020202020204" pitchFamily="34" charset="0"/>
            </a:rPr>
            <a:t>CONCESSIONÁRIA </a:t>
          </a:r>
          <a:r>
            <a:rPr lang="pt-BR" sz="3000" b="1" baseline="0">
              <a:solidFill>
                <a:schemeClr val="tx2">
                  <a:lumMod val="90000"/>
                  <a:lumOff val="1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DRIVEX</a:t>
          </a:r>
          <a:endParaRPr lang="pt-BR" sz="3000" b="1">
            <a:solidFill>
              <a:schemeClr val="tx2">
                <a:lumMod val="90000"/>
                <a:lumOff val="1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450925</xdr:colOff>
      <xdr:row>0</xdr:row>
      <xdr:rowOff>0</xdr:rowOff>
    </xdr:from>
    <xdr:to>
      <xdr:col>7</xdr:col>
      <xdr:colOff>191845</xdr:colOff>
      <xdr:row>1</xdr:row>
      <xdr:rowOff>8963</xdr:rowOff>
    </xdr:to>
    <xdr:grpSp>
      <xdr:nvGrpSpPr>
        <xdr:cNvPr id="36" name="Agrupar 3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3498925" y="0"/>
          <a:ext cx="960120" cy="869575"/>
          <a:chOff x="3498925" y="0"/>
          <a:chExt cx="960120" cy="869575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498925" y="0"/>
            <a:ext cx="960120" cy="86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3585882" y="582706"/>
            <a:ext cx="869575" cy="233082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450925</xdr:colOff>
      <xdr:row>0</xdr:row>
      <xdr:rowOff>0</xdr:rowOff>
    </xdr:from>
    <xdr:to>
      <xdr:col>7</xdr:col>
      <xdr:colOff>191845</xdr:colOff>
      <xdr:row>1</xdr:row>
      <xdr:rowOff>8963</xdr:rowOff>
    </xdr:to>
    <xdr:grpSp>
      <xdr:nvGrpSpPr>
        <xdr:cNvPr id="28" name="Agrupar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3498925" y="0"/>
          <a:ext cx="960120" cy="869575"/>
          <a:chOff x="3498925" y="0"/>
          <a:chExt cx="960120" cy="869575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3498925" y="0"/>
            <a:ext cx="960120" cy="86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3585882" y="582706"/>
            <a:ext cx="869575" cy="233082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</a:p>
        </xdr:txBody>
      </xdr:sp>
    </xdr:grpSp>
    <xdr:clientData/>
  </xdr:twoCellAnchor>
  <xdr:twoCellAnchor>
    <xdr:from>
      <xdr:col>7</xdr:col>
      <xdr:colOff>233083</xdr:colOff>
      <xdr:row>0</xdr:row>
      <xdr:rowOff>0</xdr:rowOff>
    </xdr:from>
    <xdr:to>
      <xdr:col>9</xdr:col>
      <xdr:colOff>197223</xdr:colOff>
      <xdr:row>0</xdr:row>
      <xdr:rowOff>833718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4500283" y="0"/>
          <a:ext cx="1308846" cy="833718"/>
          <a:chOff x="4500283" y="0"/>
          <a:chExt cx="1308846" cy="83371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4661905" y="0"/>
            <a:ext cx="1061951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945729" y="90090"/>
            <a:ext cx="486000" cy="486000"/>
          </a:xfrm>
          <a:prstGeom prst="rect">
            <a:avLst/>
          </a:prstGeom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4500283" y="609598"/>
            <a:ext cx="1308846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173017</xdr:colOff>
      <xdr:row>0</xdr:row>
      <xdr:rowOff>0</xdr:rowOff>
    </xdr:from>
    <xdr:to>
      <xdr:col>10</xdr:col>
      <xdr:colOff>523537</xdr:colOff>
      <xdr:row>0</xdr:row>
      <xdr:rowOff>833718</xdr:rowOff>
    </xdr:to>
    <xdr:grpSp>
      <xdr:nvGrpSpPr>
        <xdr:cNvPr id="18" name="Agrupar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784923" y="0"/>
          <a:ext cx="1130449" cy="833718"/>
          <a:chOff x="3534784" y="1"/>
          <a:chExt cx="960120" cy="83371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388169</xdr:colOff>
      <xdr:row>0</xdr:row>
      <xdr:rowOff>0</xdr:rowOff>
    </xdr:from>
    <xdr:to>
      <xdr:col>12</xdr:col>
      <xdr:colOff>537881</xdr:colOff>
      <xdr:row>0</xdr:row>
      <xdr:rowOff>833718</xdr:rowOff>
    </xdr:to>
    <xdr:grpSp>
      <xdr:nvGrpSpPr>
        <xdr:cNvPr id="14" name="Agrupar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6780004" y="0"/>
          <a:ext cx="1853006" cy="833718"/>
          <a:chOff x="6780004" y="0"/>
          <a:chExt cx="1853006" cy="83371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6780004" y="0"/>
            <a:ext cx="1853006" cy="833718"/>
            <a:chOff x="3534784" y="1"/>
            <a:chExt cx="960120" cy="833718"/>
          </a:xfrm>
        </xdr:grpSpPr>
        <xdr:sp macro="" textlink="">
          <xdr:nvSpPr>
            <xdr:cNvPr id="23" name="Retângulo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26327" y="134469"/>
            <a:ext cx="560404" cy="414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56479</xdr:colOff>
      <xdr:row>0</xdr:row>
      <xdr:rowOff>0</xdr:rowOff>
    </xdr:from>
    <xdr:to>
      <xdr:col>5</xdr:col>
      <xdr:colOff>406999</xdr:colOff>
      <xdr:row>0</xdr:row>
      <xdr:rowOff>770362</xdr:rowOff>
    </xdr:to>
    <xdr:grpSp>
      <xdr:nvGrpSpPr>
        <xdr:cNvPr id="34" name="Agrupar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2494879" y="0"/>
          <a:ext cx="960120" cy="770362"/>
          <a:chOff x="2494879" y="0"/>
          <a:chExt cx="960120" cy="770362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2494879" y="0"/>
            <a:ext cx="960120" cy="65177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2635625" y="591820"/>
            <a:ext cx="815789" cy="178542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644" y="67272"/>
            <a:ext cx="486000" cy="496650"/>
          </a:xfrm>
          <a:prstGeom prst="rect">
            <a:avLst/>
          </a:prstGeom>
          <a:solidFill>
            <a:srgbClr val="151316"/>
          </a:solidFill>
        </xdr:spPr>
      </xdr:pic>
    </xdr:grpSp>
    <xdr:clientData/>
  </xdr:twoCellAnchor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49165</xdr:colOff>
      <xdr:row>1</xdr:row>
      <xdr:rowOff>116541</xdr:rowOff>
    </xdr:from>
    <xdr:to>
      <xdr:col>3</xdr:col>
      <xdr:colOff>497682</xdr:colOff>
      <xdr:row>1</xdr:row>
      <xdr:rowOff>367553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68365" y="977153"/>
          <a:ext cx="1058117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4</xdr:row>
          <xdr:rowOff>83820</xdr:rowOff>
        </xdr:from>
        <xdr:to>
          <xdr:col>12</xdr:col>
          <xdr:colOff>800100</xdr:colOff>
          <xdr:row>4</xdr:row>
          <xdr:rowOff>297180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2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4</xdr:row>
          <xdr:rowOff>53340</xdr:rowOff>
        </xdr:from>
        <xdr:to>
          <xdr:col>12</xdr:col>
          <xdr:colOff>1882140</xdr:colOff>
          <xdr:row>5</xdr:row>
          <xdr:rowOff>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2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83820</xdr:rowOff>
        </xdr:from>
        <xdr:to>
          <xdr:col>12</xdr:col>
          <xdr:colOff>800100</xdr:colOff>
          <xdr:row>5</xdr:row>
          <xdr:rowOff>297180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2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5</xdr:row>
          <xdr:rowOff>53340</xdr:rowOff>
        </xdr:from>
        <xdr:to>
          <xdr:col>12</xdr:col>
          <xdr:colOff>1882140</xdr:colOff>
          <xdr:row>6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2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6</xdr:row>
          <xdr:rowOff>83820</xdr:rowOff>
        </xdr:from>
        <xdr:to>
          <xdr:col>12</xdr:col>
          <xdr:colOff>800100</xdr:colOff>
          <xdr:row>6</xdr:row>
          <xdr:rowOff>297180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2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6</xdr:row>
          <xdr:rowOff>53340</xdr:rowOff>
        </xdr:from>
        <xdr:to>
          <xdr:col>12</xdr:col>
          <xdr:colOff>1882140</xdr:colOff>
          <xdr:row>7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2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7</xdr:row>
          <xdr:rowOff>83820</xdr:rowOff>
        </xdr:from>
        <xdr:to>
          <xdr:col>12</xdr:col>
          <xdr:colOff>800100</xdr:colOff>
          <xdr:row>7</xdr:row>
          <xdr:rowOff>297180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2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7</xdr:row>
          <xdr:rowOff>53340</xdr:rowOff>
        </xdr:from>
        <xdr:to>
          <xdr:col>12</xdr:col>
          <xdr:colOff>1882140</xdr:colOff>
          <xdr:row>8</xdr:row>
          <xdr:rowOff>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2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8</xdr:row>
          <xdr:rowOff>83820</xdr:rowOff>
        </xdr:from>
        <xdr:to>
          <xdr:col>12</xdr:col>
          <xdr:colOff>800100</xdr:colOff>
          <xdr:row>8</xdr:row>
          <xdr:rowOff>297180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2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8</xdr:row>
          <xdr:rowOff>53340</xdr:rowOff>
        </xdr:from>
        <xdr:to>
          <xdr:col>12</xdr:col>
          <xdr:colOff>1882140</xdr:colOff>
          <xdr:row>9</xdr:row>
          <xdr:rowOff>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2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22271</xdr:colOff>
      <xdr:row>1</xdr:row>
      <xdr:rowOff>98610</xdr:rowOff>
    </xdr:from>
    <xdr:to>
      <xdr:col>6</xdr:col>
      <xdr:colOff>376518</xdr:colOff>
      <xdr:row>1</xdr:row>
      <xdr:rowOff>385481</xdr:rowOff>
    </xdr:to>
    <xdr:sp macro="" textlink="">
      <xdr:nvSpPr>
        <xdr:cNvPr id="30" name="Retângulo: Cantos Arredondados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460671" y="959222"/>
          <a:ext cx="1573447" cy="286871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VISUALIZA</a:t>
          </a:r>
          <a:r>
            <a:rPr lang="pt-BR" sz="1200" b="1" baseline="0"/>
            <a:t>R VENDAS</a:t>
          </a:r>
          <a:endParaRPr lang="pt-B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9</xdr:row>
          <xdr:rowOff>83820</xdr:rowOff>
        </xdr:from>
        <xdr:to>
          <xdr:col>12</xdr:col>
          <xdr:colOff>800100</xdr:colOff>
          <xdr:row>9</xdr:row>
          <xdr:rowOff>297180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2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DISPONÍVEL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9</xdr:row>
          <xdr:rowOff>53340</xdr:rowOff>
        </xdr:from>
        <xdr:to>
          <xdr:col>12</xdr:col>
          <xdr:colOff>1882140</xdr:colOff>
          <xdr:row>10</xdr:row>
          <xdr:rowOff>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2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VENDIDO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450925</xdr:colOff>
      <xdr:row>0</xdr:row>
      <xdr:rowOff>0</xdr:rowOff>
    </xdr:from>
    <xdr:to>
      <xdr:col>7</xdr:col>
      <xdr:colOff>191845</xdr:colOff>
      <xdr:row>1</xdr:row>
      <xdr:rowOff>8963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3570643" y="0"/>
          <a:ext cx="1273884" cy="869575"/>
          <a:chOff x="3498925" y="0"/>
          <a:chExt cx="969085" cy="869575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3498925" y="0"/>
            <a:ext cx="969085" cy="86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9157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3586694" y="582706"/>
            <a:ext cx="877695" cy="233082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</a:p>
        </xdr:txBody>
      </xdr:sp>
    </xdr:grpSp>
    <xdr:clientData/>
  </xdr:twoCellAnchor>
  <xdr:twoCellAnchor>
    <xdr:from>
      <xdr:col>7</xdr:col>
      <xdr:colOff>233083</xdr:colOff>
      <xdr:row>0</xdr:row>
      <xdr:rowOff>0</xdr:rowOff>
    </xdr:from>
    <xdr:to>
      <xdr:col>9</xdr:col>
      <xdr:colOff>197223</xdr:colOff>
      <xdr:row>0</xdr:row>
      <xdr:rowOff>833718</xdr:rowOff>
    </xdr:to>
    <xdr:grpSp>
      <xdr:nvGrpSpPr>
        <xdr:cNvPr id="31" name="Agrupar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4885765" y="0"/>
          <a:ext cx="1380564" cy="833718"/>
          <a:chOff x="4509248" y="0"/>
          <a:chExt cx="1308846" cy="83371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670870" y="0"/>
            <a:ext cx="1061951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954694" y="90090"/>
            <a:ext cx="486000" cy="486000"/>
          </a:xfrm>
          <a:prstGeom prst="rect">
            <a:avLst/>
          </a:prstGeom>
        </xdr:spPr>
      </xdr:pic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4509248" y="609598"/>
            <a:ext cx="1308846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173017</xdr:colOff>
      <xdr:row>0</xdr:row>
      <xdr:rowOff>0</xdr:rowOff>
    </xdr:from>
    <xdr:to>
      <xdr:col>10</xdr:col>
      <xdr:colOff>523537</xdr:colOff>
      <xdr:row>0</xdr:row>
      <xdr:rowOff>833718</xdr:rowOff>
    </xdr:to>
    <xdr:grpSp>
      <xdr:nvGrpSpPr>
        <xdr:cNvPr id="13" name="Agrupar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242123" y="0"/>
          <a:ext cx="1130449" cy="833718"/>
          <a:chOff x="3534784" y="1"/>
          <a:chExt cx="960120" cy="83371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388169</xdr:colOff>
      <xdr:row>0</xdr:row>
      <xdr:rowOff>0</xdr:rowOff>
    </xdr:from>
    <xdr:to>
      <xdr:col>12</xdr:col>
      <xdr:colOff>537881</xdr:colOff>
      <xdr:row>0</xdr:row>
      <xdr:rowOff>833718</xdr:rowOff>
    </xdr:to>
    <xdr:grpSp>
      <xdr:nvGrpSpPr>
        <xdr:cNvPr id="5" name="Agrupa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237204" y="0"/>
          <a:ext cx="1915759" cy="833718"/>
          <a:chOff x="6788969" y="0"/>
          <a:chExt cx="1790253" cy="833718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6788969" y="0"/>
            <a:ext cx="1790253" cy="833718"/>
            <a:chOff x="3534784" y="1"/>
            <a:chExt cx="960120" cy="833718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04135" y="125504"/>
            <a:ext cx="541426" cy="414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56479</xdr:colOff>
      <xdr:row>0</xdr:row>
      <xdr:rowOff>0</xdr:rowOff>
    </xdr:from>
    <xdr:to>
      <xdr:col>5</xdr:col>
      <xdr:colOff>406999</xdr:colOff>
      <xdr:row>0</xdr:row>
      <xdr:rowOff>770362</xdr:rowOff>
    </xdr:to>
    <xdr:grpSp>
      <xdr:nvGrpSpPr>
        <xdr:cNvPr id="22" name="Agrupar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2494879" y="0"/>
          <a:ext cx="1031838" cy="770362"/>
          <a:chOff x="2494879" y="0"/>
          <a:chExt cx="960120" cy="770362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2494879" y="0"/>
            <a:ext cx="960120" cy="65177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2635625" y="591820"/>
            <a:ext cx="815789" cy="178542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644" y="67272"/>
            <a:ext cx="486000" cy="496650"/>
          </a:xfrm>
          <a:prstGeom prst="rect">
            <a:avLst/>
          </a:prstGeom>
          <a:solidFill>
            <a:srgbClr val="151316"/>
          </a:solidFill>
        </xdr:spPr>
      </xdr:pic>
    </xdr:grpSp>
    <xdr:clientData/>
  </xdr:twoCellAnchor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29" name="Retângulo: Cantos Arredondado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308847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480060</xdr:colOff>
      <xdr:row>5</xdr:row>
      <xdr:rowOff>22860</xdr:rowOff>
    </xdr:from>
    <xdr:to>
      <xdr:col>18</xdr:col>
      <xdr:colOff>68580</xdr:colOff>
      <xdr:row>20</xdr:row>
      <xdr:rowOff>22860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918460" y="1912620"/>
          <a:ext cx="8122920" cy="2743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5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3500" b="1" baseline="0">
              <a:latin typeface="Arial" panose="020B0604020202020204" pitchFamily="34" charset="0"/>
              <a:cs typeface="Arial" panose="020B0604020202020204" pitchFamily="34" charset="0"/>
            </a:rPr>
            <a:t>  FINANCEIRO  </a:t>
          </a:r>
        </a:p>
        <a:p>
          <a:pPr algn="ctr"/>
          <a:r>
            <a:rPr lang="pt-BR" sz="3000" b="1" baseline="0">
              <a:latin typeface="Arial" panose="020B0604020202020204" pitchFamily="34" charset="0"/>
              <a:cs typeface="Arial" panose="020B0604020202020204" pitchFamily="34" charset="0"/>
            </a:rPr>
            <a:t>CONCESSIONÁRIA </a:t>
          </a:r>
          <a:r>
            <a:rPr lang="pt-BR" sz="3000" b="1" baseline="0">
              <a:solidFill>
                <a:schemeClr val="tx2">
                  <a:lumMod val="90000"/>
                  <a:lumOff val="1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DRIVEX</a:t>
          </a:r>
          <a:endParaRPr lang="pt-BR" sz="3000" b="1">
            <a:solidFill>
              <a:schemeClr val="tx2">
                <a:lumMod val="90000"/>
                <a:lumOff val="1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137160</xdr:colOff>
      <xdr:row>0</xdr:row>
      <xdr:rowOff>1</xdr:rowOff>
    </xdr:from>
    <xdr:to>
      <xdr:col>5</xdr:col>
      <xdr:colOff>487680</xdr:colOff>
      <xdr:row>0</xdr:row>
      <xdr:rowOff>851647</xdr:rowOff>
    </xdr:to>
    <xdr:grpSp>
      <xdr:nvGrpSpPr>
        <xdr:cNvPr id="29" name="Agrupar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575560" y="1"/>
          <a:ext cx="960120" cy="851646"/>
          <a:chOff x="2575560" y="1"/>
          <a:chExt cx="960120" cy="85164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575560" y="1"/>
            <a:ext cx="960120" cy="85164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0948"/>
            <a:ext cx="486000" cy="496650"/>
          </a:xfrm>
          <a:prstGeom prst="rect">
            <a:avLst/>
          </a:prstGeom>
          <a:solidFill>
            <a:srgbClr val="151316"/>
          </a:solidFill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/>
        </xdr:nvSpPr>
        <xdr:spPr>
          <a:xfrm>
            <a:off x="2644589" y="593750"/>
            <a:ext cx="815789" cy="203824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26" name="Agrupar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pSpPr/>
      </xdr:nvGrpSpPr>
      <xdr:grpSpPr>
        <a:xfrm>
          <a:off x="3534784" y="8966"/>
          <a:ext cx="960120" cy="833718"/>
          <a:chOff x="3534784" y="8966"/>
          <a:chExt cx="960120" cy="83371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242876</xdr:colOff>
      <xdr:row>0</xdr:row>
      <xdr:rowOff>0</xdr:rowOff>
    </xdr:from>
    <xdr:to>
      <xdr:col>9</xdr:col>
      <xdr:colOff>143435</xdr:colOff>
      <xdr:row>1</xdr:row>
      <xdr:rowOff>1033</xdr:rowOff>
    </xdr:to>
    <xdr:grpSp>
      <xdr:nvGrpSpPr>
        <xdr:cNvPr id="30" name="Agrupar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4510076" y="0"/>
          <a:ext cx="1119759" cy="861645"/>
          <a:chOff x="4510076" y="0"/>
          <a:chExt cx="1119759" cy="86164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4510076" y="0"/>
            <a:ext cx="1119759" cy="86164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819251" y="93109"/>
            <a:ext cx="502280" cy="502280"/>
          </a:xfrm>
          <a:prstGeom prst="rect">
            <a:avLst/>
          </a:prstGeom>
          <a:solidFill>
            <a:sysClr val="window" lastClr="FFFFFF"/>
          </a:solidFill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 txBox="1"/>
        </xdr:nvSpPr>
        <xdr:spPr>
          <a:xfrm>
            <a:off x="4529933" y="636495"/>
            <a:ext cx="1055423" cy="177357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214393</xdr:colOff>
      <xdr:row>0</xdr:row>
      <xdr:rowOff>29308</xdr:rowOff>
    </xdr:from>
    <xdr:to>
      <xdr:col>10</xdr:col>
      <xdr:colOff>564913</xdr:colOff>
      <xdr:row>1</xdr:row>
      <xdr:rowOff>1380</xdr:rowOff>
    </xdr:to>
    <xdr:grpSp>
      <xdr:nvGrpSpPr>
        <xdr:cNvPr id="18" name="Agrupar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5700793" y="29308"/>
          <a:ext cx="960120" cy="832684"/>
          <a:chOff x="3534784" y="1"/>
          <a:chExt cx="960120" cy="83371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432994</xdr:colOff>
      <xdr:row>0</xdr:row>
      <xdr:rowOff>0</xdr:rowOff>
    </xdr:from>
    <xdr:to>
      <xdr:col>12</xdr:col>
      <xdr:colOff>582706</xdr:colOff>
      <xdr:row>0</xdr:row>
      <xdr:rowOff>833718</xdr:rowOff>
    </xdr:to>
    <xdr:grpSp>
      <xdr:nvGrpSpPr>
        <xdr:cNvPr id="27" name="Agrupar 2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6528994" y="0"/>
          <a:ext cx="1368912" cy="833718"/>
          <a:chOff x="6376594" y="0"/>
          <a:chExt cx="1368912" cy="83371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GrpSpPr/>
        </xdr:nvGrpSpPr>
        <xdr:grpSpPr>
          <a:xfrm>
            <a:off x="6376594" y="0"/>
            <a:ext cx="1368912" cy="833718"/>
            <a:chOff x="3534784" y="1"/>
            <a:chExt cx="960120" cy="833718"/>
          </a:xfrm>
        </xdr:grpSpPr>
        <xdr:sp macro="" textlink="">
          <xdr:nvSpPr>
            <xdr:cNvPr id="23" name="Retângul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33794" y="89646"/>
            <a:ext cx="486000" cy="48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6" name="Retângulo: Cantos Arredondados 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308847" y="977153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VEÍCULOS</a:t>
          </a:r>
        </a:p>
      </xdr:txBody>
    </xdr:sp>
    <xdr:clientData/>
  </xdr:twoCellAnchor>
  <xdr:twoCellAnchor>
    <xdr:from>
      <xdr:col>4</xdr:col>
      <xdr:colOff>35859</xdr:colOff>
      <xdr:row>1</xdr:row>
      <xdr:rowOff>116541</xdr:rowOff>
    </xdr:from>
    <xdr:to>
      <xdr:col>5</xdr:col>
      <xdr:colOff>403412</xdr:colOff>
      <xdr:row>1</xdr:row>
      <xdr:rowOff>367553</xdr:rowOff>
    </xdr:to>
    <xdr:sp macro="" textlink="">
      <xdr:nvSpPr>
        <xdr:cNvPr id="14" name="Retângulo: Cantos Arredondados 1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2474259" y="977153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USUÁRIOS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137160</xdr:colOff>
      <xdr:row>0</xdr:row>
      <xdr:rowOff>1</xdr:rowOff>
    </xdr:from>
    <xdr:to>
      <xdr:col>5</xdr:col>
      <xdr:colOff>487680</xdr:colOff>
      <xdr:row>0</xdr:row>
      <xdr:rowOff>851647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2575560" y="1"/>
          <a:ext cx="960120" cy="851646"/>
          <a:chOff x="2575560" y="1"/>
          <a:chExt cx="960120" cy="85164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2575560" y="1"/>
            <a:ext cx="960120" cy="85164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0948"/>
            <a:ext cx="486000" cy="496650"/>
          </a:xfrm>
          <a:prstGeom prst="rect">
            <a:avLst/>
          </a:prstGeom>
          <a:solidFill>
            <a:srgbClr val="151316"/>
          </a:solidFill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 txBox="1"/>
        </xdr:nvSpPr>
        <xdr:spPr>
          <a:xfrm>
            <a:off x="2644589" y="593750"/>
            <a:ext cx="815789" cy="203824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5" name="Agrupar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3534784" y="8966"/>
          <a:ext cx="960120" cy="833718"/>
          <a:chOff x="3534784" y="8966"/>
          <a:chExt cx="960120" cy="83371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242876</xdr:colOff>
      <xdr:row>0</xdr:row>
      <xdr:rowOff>0</xdr:rowOff>
    </xdr:from>
    <xdr:to>
      <xdr:col>9</xdr:col>
      <xdr:colOff>143435</xdr:colOff>
      <xdr:row>1</xdr:row>
      <xdr:rowOff>1033</xdr:rowOff>
    </xdr:to>
    <xdr:grpSp>
      <xdr:nvGrpSpPr>
        <xdr:cNvPr id="29" name="Agrupar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4510076" y="0"/>
          <a:ext cx="1119759" cy="861645"/>
          <a:chOff x="4510076" y="0"/>
          <a:chExt cx="1119759" cy="861645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4510076" y="0"/>
            <a:ext cx="1119759" cy="86164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819251" y="93109"/>
            <a:ext cx="502280" cy="502280"/>
          </a:xfrm>
          <a:prstGeom prst="rect">
            <a:avLst/>
          </a:prstGeom>
          <a:solidFill>
            <a:sysClr val="window" lastClr="FFFFFF"/>
          </a:solidFill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 txBox="1"/>
        </xdr:nvSpPr>
        <xdr:spPr>
          <a:xfrm>
            <a:off x="4547863" y="627530"/>
            <a:ext cx="1055423" cy="177357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214393</xdr:colOff>
      <xdr:row>0</xdr:row>
      <xdr:rowOff>29308</xdr:rowOff>
    </xdr:from>
    <xdr:to>
      <xdr:col>10</xdr:col>
      <xdr:colOff>564913</xdr:colOff>
      <xdr:row>1</xdr:row>
      <xdr:rowOff>1380</xdr:rowOff>
    </xdr:to>
    <xdr:grpSp>
      <xdr:nvGrpSpPr>
        <xdr:cNvPr id="17" name="Agrupar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700793" y="29308"/>
          <a:ext cx="960120" cy="832684"/>
          <a:chOff x="3534784" y="1"/>
          <a:chExt cx="960120" cy="83371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432994</xdr:colOff>
      <xdr:row>0</xdr:row>
      <xdr:rowOff>0</xdr:rowOff>
    </xdr:from>
    <xdr:to>
      <xdr:col>12</xdr:col>
      <xdr:colOff>582706</xdr:colOff>
      <xdr:row>0</xdr:row>
      <xdr:rowOff>833718</xdr:rowOff>
    </xdr:to>
    <xdr:grpSp>
      <xdr:nvGrpSpPr>
        <xdr:cNvPr id="21" name="Agrupar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6528994" y="0"/>
          <a:ext cx="1368912" cy="833718"/>
          <a:chOff x="6376594" y="0"/>
          <a:chExt cx="1368912" cy="83371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GrpSpPr/>
        </xdr:nvGrpSpPr>
        <xdr:grpSpPr>
          <a:xfrm>
            <a:off x="6376594" y="0"/>
            <a:ext cx="1368912" cy="833718"/>
            <a:chOff x="3534784" y="1"/>
            <a:chExt cx="960120" cy="833718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33794" y="89646"/>
            <a:ext cx="486000" cy="48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26" name="Retângulo: Cantos Arredondados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308847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</a:t>
          </a:r>
        </a:p>
      </xdr:txBody>
    </xdr:sp>
    <xdr:clientData/>
  </xdr:twoCellAnchor>
  <xdr:twoCellAnchor>
    <xdr:from>
      <xdr:col>9</xdr:col>
      <xdr:colOff>44824</xdr:colOff>
      <xdr:row>13</xdr:row>
      <xdr:rowOff>367552</xdr:rowOff>
    </xdr:from>
    <xdr:to>
      <xdr:col>13</xdr:col>
      <xdr:colOff>475130</xdr:colOff>
      <xdr:row>15</xdr:row>
      <xdr:rowOff>322729</xdr:rowOff>
    </xdr:to>
    <xdr:sp macro="[0]!Módulo3.Cadastro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3702424" y="4208032"/>
          <a:ext cx="2868706" cy="717177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 VEÍCULO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</xdr:colOff>
          <xdr:row>11</xdr:row>
          <xdr:rowOff>7620</xdr:rowOff>
        </xdr:from>
        <xdr:to>
          <xdr:col>15</xdr:col>
          <xdr:colOff>190500</xdr:colOff>
          <xdr:row>12</xdr:row>
          <xdr:rowOff>30480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0KM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11</xdr:row>
          <xdr:rowOff>7620</xdr:rowOff>
        </xdr:from>
        <xdr:to>
          <xdr:col>16</xdr:col>
          <xdr:colOff>167640</xdr:colOff>
          <xdr:row>12</xdr:row>
          <xdr:rowOff>30480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SEMI NOVO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137160</xdr:colOff>
      <xdr:row>0</xdr:row>
      <xdr:rowOff>1</xdr:rowOff>
    </xdr:from>
    <xdr:to>
      <xdr:col>5</xdr:col>
      <xdr:colOff>487680</xdr:colOff>
      <xdr:row>0</xdr:row>
      <xdr:rowOff>851647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2575560" y="1"/>
          <a:ext cx="960120" cy="851646"/>
          <a:chOff x="2575560" y="1"/>
          <a:chExt cx="960120" cy="85164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2575560" y="1"/>
            <a:ext cx="960120" cy="851646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0948"/>
            <a:ext cx="486000" cy="496650"/>
          </a:xfrm>
          <a:prstGeom prst="rect">
            <a:avLst/>
          </a:prstGeom>
          <a:solidFill>
            <a:srgbClr val="151316"/>
          </a:solidFill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2644589" y="611680"/>
            <a:ext cx="815789" cy="203824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5" name="Agrupar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534784" y="8966"/>
          <a:ext cx="960120" cy="833718"/>
          <a:chOff x="3534784" y="8966"/>
          <a:chExt cx="960120" cy="83371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242876</xdr:colOff>
      <xdr:row>0</xdr:row>
      <xdr:rowOff>0</xdr:rowOff>
    </xdr:from>
    <xdr:to>
      <xdr:col>9</xdr:col>
      <xdr:colOff>143435</xdr:colOff>
      <xdr:row>1</xdr:row>
      <xdr:rowOff>1033</xdr:rowOff>
    </xdr:to>
    <xdr:grpSp>
      <xdr:nvGrpSpPr>
        <xdr:cNvPr id="29" name="Agrupar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pSpPr/>
      </xdr:nvGrpSpPr>
      <xdr:grpSpPr>
        <a:xfrm>
          <a:off x="4510076" y="0"/>
          <a:ext cx="1119759" cy="861645"/>
          <a:chOff x="4510076" y="0"/>
          <a:chExt cx="1119759" cy="861645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4510076" y="0"/>
            <a:ext cx="1119759" cy="86164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819251" y="93109"/>
            <a:ext cx="502280" cy="502280"/>
          </a:xfrm>
          <a:prstGeom prst="rect">
            <a:avLst/>
          </a:prstGeom>
          <a:solidFill>
            <a:sysClr val="window" lastClr="FFFFFF"/>
          </a:solidFill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 txBox="1"/>
        </xdr:nvSpPr>
        <xdr:spPr>
          <a:xfrm>
            <a:off x="4565792" y="618565"/>
            <a:ext cx="1055423" cy="177357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214393</xdr:colOff>
      <xdr:row>0</xdr:row>
      <xdr:rowOff>29308</xdr:rowOff>
    </xdr:from>
    <xdr:to>
      <xdr:col>10</xdr:col>
      <xdr:colOff>564913</xdr:colOff>
      <xdr:row>1</xdr:row>
      <xdr:rowOff>1380</xdr:rowOff>
    </xdr:to>
    <xdr:grpSp>
      <xdr:nvGrpSpPr>
        <xdr:cNvPr id="17" name="Agrupar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/>
      </xdr:nvGrpSpPr>
      <xdr:grpSpPr>
        <a:xfrm>
          <a:off x="5700793" y="29308"/>
          <a:ext cx="960120" cy="832684"/>
          <a:chOff x="3534784" y="1"/>
          <a:chExt cx="960120" cy="83371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432994</xdr:colOff>
      <xdr:row>0</xdr:row>
      <xdr:rowOff>0</xdr:rowOff>
    </xdr:from>
    <xdr:to>
      <xdr:col>12</xdr:col>
      <xdr:colOff>582706</xdr:colOff>
      <xdr:row>0</xdr:row>
      <xdr:rowOff>833718</xdr:rowOff>
    </xdr:to>
    <xdr:grpSp>
      <xdr:nvGrpSpPr>
        <xdr:cNvPr id="21" name="Agrupar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pSpPr/>
      </xdr:nvGrpSpPr>
      <xdr:grpSpPr>
        <a:xfrm>
          <a:off x="6528994" y="0"/>
          <a:ext cx="1368912" cy="833718"/>
          <a:chOff x="6376594" y="0"/>
          <a:chExt cx="1368912" cy="83371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GrpSpPr/>
        </xdr:nvGrpSpPr>
        <xdr:grpSpPr>
          <a:xfrm>
            <a:off x="6376594" y="0"/>
            <a:ext cx="1368912" cy="833718"/>
            <a:chOff x="3534784" y="1"/>
            <a:chExt cx="960120" cy="833718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33794" y="89646"/>
            <a:ext cx="486000" cy="48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89647</xdr:colOff>
      <xdr:row>1</xdr:row>
      <xdr:rowOff>116541</xdr:rowOff>
    </xdr:from>
    <xdr:to>
      <xdr:col>3</xdr:col>
      <xdr:colOff>457200</xdr:colOff>
      <xdr:row>1</xdr:row>
      <xdr:rowOff>367553</xdr:rowOff>
    </xdr:to>
    <xdr:sp macro="" textlink="">
      <xdr:nvSpPr>
        <xdr:cNvPr id="26" name="Retângulo: Cantos Arredondados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308847" y="977601"/>
          <a:ext cx="977153" cy="251012"/>
        </a:xfrm>
        <a:prstGeom prst="roundRect">
          <a:avLst/>
        </a:prstGeom>
        <a:solidFill>
          <a:srgbClr val="151316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</a:t>
          </a:r>
        </a:p>
      </xdr:txBody>
    </xdr:sp>
    <xdr:clientData/>
  </xdr:twoCellAnchor>
  <xdr:twoCellAnchor>
    <xdr:from>
      <xdr:col>9</xdr:col>
      <xdr:colOff>44824</xdr:colOff>
      <xdr:row>13</xdr:row>
      <xdr:rowOff>367552</xdr:rowOff>
    </xdr:from>
    <xdr:to>
      <xdr:col>13</xdr:col>
      <xdr:colOff>475130</xdr:colOff>
      <xdr:row>15</xdr:row>
      <xdr:rowOff>322729</xdr:rowOff>
    </xdr:to>
    <xdr:sp macro="[0]!Cadastro_Cliente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5531224" y="3689872"/>
          <a:ext cx="2868706" cy="366657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 CLIENTE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</xdr:colOff>
          <xdr:row>11</xdr:row>
          <xdr:rowOff>7620</xdr:rowOff>
        </xdr:from>
        <xdr:to>
          <xdr:col>15</xdr:col>
          <xdr:colOff>190500</xdr:colOff>
          <xdr:row>12</xdr:row>
          <xdr:rowOff>30480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0KM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11</xdr:row>
          <xdr:rowOff>7620</xdr:rowOff>
        </xdr:from>
        <xdr:to>
          <xdr:col>16</xdr:col>
          <xdr:colOff>167640</xdr:colOff>
          <xdr:row>12</xdr:row>
          <xdr:rowOff>30480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SEMI NOVO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0" y="7620"/>
          <a:ext cx="26289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137160</xdr:colOff>
      <xdr:row>0</xdr:row>
      <xdr:rowOff>53791</xdr:rowOff>
    </xdr:from>
    <xdr:to>
      <xdr:col>5</xdr:col>
      <xdr:colOff>487680</xdr:colOff>
      <xdr:row>1</xdr:row>
      <xdr:rowOff>8966</xdr:rowOff>
    </xdr:to>
    <xdr:grpSp>
      <xdr:nvGrpSpPr>
        <xdr:cNvPr id="27" name="Agrupar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pSpPr/>
      </xdr:nvGrpSpPr>
      <xdr:grpSpPr>
        <a:xfrm>
          <a:off x="2727960" y="53791"/>
          <a:ext cx="960120" cy="815787"/>
          <a:chOff x="2575560" y="1"/>
          <a:chExt cx="960120" cy="86957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2575560" y="1"/>
            <a:ext cx="960120" cy="815787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0948"/>
            <a:ext cx="486000" cy="496650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2644589" y="593750"/>
            <a:ext cx="815789" cy="203824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6" name="Agrupar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3687184" y="8966"/>
          <a:ext cx="987014" cy="833718"/>
          <a:chOff x="3534784" y="8966"/>
          <a:chExt cx="960120" cy="83371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143436</xdr:colOff>
      <xdr:row>0</xdr:row>
      <xdr:rowOff>1</xdr:rowOff>
    </xdr:from>
    <xdr:to>
      <xdr:col>9</xdr:col>
      <xdr:colOff>107576</xdr:colOff>
      <xdr:row>0</xdr:row>
      <xdr:rowOff>833719</xdr:rowOff>
    </xdr:to>
    <xdr:grpSp>
      <xdr:nvGrpSpPr>
        <xdr:cNvPr id="28" name="Agrupar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pSpPr/>
      </xdr:nvGrpSpPr>
      <xdr:grpSpPr>
        <a:xfrm>
          <a:off x="4589930" y="1"/>
          <a:ext cx="1308846" cy="833718"/>
          <a:chOff x="4410636" y="1"/>
          <a:chExt cx="1183340" cy="83371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4556760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90066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 txBox="1"/>
        </xdr:nvSpPr>
        <xdr:spPr>
          <a:xfrm>
            <a:off x="4410636" y="627529"/>
            <a:ext cx="1183340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38547</xdr:colOff>
      <xdr:row>0</xdr:row>
      <xdr:rowOff>0</xdr:rowOff>
    </xdr:from>
    <xdr:to>
      <xdr:col>10</xdr:col>
      <xdr:colOff>389067</xdr:colOff>
      <xdr:row>1</xdr:row>
      <xdr:rowOff>17928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5829747" y="0"/>
          <a:ext cx="1264920" cy="878540"/>
          <a:chOff x="3534784" y="1"/>
          <a:chExt cx="960120" cy="833718"/>
        </a:xfrm>
        <a:solidFill>
          <a:sysClr val="window" lastClr="FFFFFF"/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  <a:grpFill/>
        </xdr:spPr>
      </xdr:pic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406100</xdr:colOff>
      <xdr:row>0</xdr:row>
      <xdr:rowOff>0</xdr:rowOff>
    </xdr:from>
    <xdr:to>
      <xdr:col>12</xdr:col>
      <xdr:colOff>555812</xdr:colOff>
      <xdr:row>0</xdr:row>
      <xdr:rowOff>833718</xdr:rowOff>
    </xdr:to>
    <xdr:grpSp>
      <xdr:nvGrpSpPr>
        <xdr:cNvPr id="10" name="Agrupar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7111700" y="0"/>
          <a:ext cx="1888865" cy="833718"/>
          <a:chOff x="6672429" y="0"/>
          <a:chExt cx="1879901" cy="83371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GrpSpPr/>
        </xdr:nvGrpSpPr>
        <xdr:grpSpPr>
          <a:xfrm>
            <a:off x="6672429" y="0"/>
            <a:ext cx="1879901" cy="833718"/>
            <a:chOff x="3534784" y="1"/>
            <a:chExt cx="960120" cy="833718"/>
          </a:xfrm>
        </xdr:grpSpPr>
        <xdr:sp macro="" textlink="">
          <xdr:nvSpPr>
            <xdr:cNvPr id="23" name="Retângul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3534784" y="1"/>
              <a:ext cx="960120" cy="833718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3603813" y="600635"/>
              <a:ext cx="815789" cy="206188"/>
            </a:xfrm>
            <a:prstGeom prst="rect">
              <a:avLst/>
            </a:prstGeom>
            <a:solidFill>
              <a:srgbClr val="151316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18222" y="134470"/>
            <a:ext cx="568539" cy="414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4</xdr:col>
      <xdr:colOff>38100</xdr:colOff>
      <xdr:row>1</xdr:row>
      <xdr:rowOff>30480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0" y="7620"/>
          <a:ext cx="2476500" cy="883472"/>
          <a:chOff x="0" y="7620"/>
          <a:chExt cx="2476500" cy="8839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0" y="30480"/>
            <a:ext cx="2476500" cy="822960"/>
          </a:xfrm>
          <a:prstGeom prst="rect">
            <a:avLst/>
          </a:prstGeom>
          <a:gradFill flip="none" rotWithShape="1">
            <a:gsLst>
              <a:gs pos="48000">
                <a:srgbClr val="151316"/>
              </a:gs>
              <a:gs pos="91000">
                <a:srgbClr val="104862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7620"/>
            <a:ext cx="883920" cy="8839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137160</xdr:colOff>
      <xdr:row>0</xdr:row>
      <xdr:rowOff>53791</xdr:rowOff>
    </xdr:from>
    <xdr:to>
      <xdr:col>5</xdr:col>
      <xdr:colOff>487680</xdr:colOff>
      <xdr:row>1</xdr:row>
      <xdr:rowOff>2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2575560" y="53791"/>
          <a:ext cx="960120" cy="806823"/>
          <a:chOff x="2575560" y="1"/>
          <a:chExt cx="960120" cy="86957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2575560" y="1"/>
            <a:ext cx="960120" cy="806823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866" y="80948"/>
            <a:ext cx="486000" cy="496650"/>
          </a:xfrm>
          <a:prstGeom prst="rect">
            <a:avLst/>
          </a:prstGeom>
          <a:solidFill>
            <a:srgbClr val="151316"/>
          </a:solidFill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 txBox="1"/>
        </xdr:nvSpPr>
        <xdr:spPr>
          <a:xfrm>
            <a:off x="2644589" y="593750"/>
            <a:ext cx="815789" cy="203824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  <a:endPara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486784</xdr:colOff>
      <xdr:row>0</xdr:row>
      <xdr:rowOff>8966</xdr:rowOff>
    </xdr:from>
    <xdr:to>
      <xdr:col>7</xdr:col>
      <xdr:colOff>227704</xdr:colOff>
      <xdr:row>0</xdr:row>
      <xdr:rowOff>842684</xdr:rowOff>
    </xdr:to>
    <xdr:grpSp>
      <xdr:nvGrpSpPr>
        <xdr:cNvPr id="6" name="Agrupar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3534784" y="8966"/>
          <a:ext cx="960120" cy="833718"/>
          <a:chOff x="3534784" y="8966"/>
          <a:chExt cx="960120" cy="83371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3534784" y="8966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14302" y="81126"/>
            <a:ext cx="609156" cy="609156"/>
          </a:xfrm>
          <a:prstGeom prst="rect">
            <a:avLst/>
          </a:prstGeom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 txBox="1"/>
        </xdr:nvSpPr>
        <xdr:spPr>
          <a:xfrm>
            <a:off x="3603813" y="609600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REGISTRO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170330</xdr:colOff>
      <xdr:row>0</xdr:row>
      <xdr:rowOff>1</xdr:rowOff>
    </xdr:from>
    <xdr:to>
      <xdr:col>9</xdr:col>
      <xdr:colOff>134470</xdr:colOff>
      <xdr:row>0</xdr:row>
      <xdr:rowOff>833719</xdr:rowOff>
    </xdr:to>
    <xdr:grpSp>
      <xdr:nvGrpSpPr>
        <xdr:cNvPr id="22" name="Agrupar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4437530" y="1"/>
          <a:ext cx="1183340" cy="833718"/>
          <a:chOff x="4437530" y="1"/>
          <a:chExt cx="1183340" cy="83371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/>
        </xdr:nvSpPr>
        <xdr:spPr>
          <a:xfrm>
            <a:off x="4556760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90066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 txBox="1"/>
        </xdr:nvSpPr>
        <xdr:spPr>
          <a:xfrm>
            <a:off x="4437530" y="609599"/>
            <a:ext cx="1183340" cy="161365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CADASTRO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38547</xdr:colOff>
      <xdr:row>0</xdr:row>
      <xdr:rowOff>0</xdr:rowOff>
    </xdr:from>
    <xdr:to>
      <xdr:col>10</xdr:col>
      <xdr:colOff>389067</xdr:colOff>
      <xdr:row>0</xdr:row>
      <xdr:rowOff>833718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5524947" y="0"/>
          <a:ext cx="960120" cy="833718"/>
          <a:chOff x="3534784" y="1"/>
          <a:chExt cx="960120" cy="83371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534784" y="1"/>
            <a:ext cx="960120" cy="833718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" name="Imagem 1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768090" y="90091"/>
            <a:ext cx="486000" cy="486000"/>
          </a:xfrm>
          <a:prstGeom prst="rect">
            <a:avLst/>
          </a:prstGeom>
        </xdr:spPr>
      </xdr:pic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 txBox="1"/>
        </xdr:nvSpPr>
        <xdr:spPr>
          <a:xfrm>
            <a:off x="3603813" y="600635"/>
            <a:ext cx="815789" cy="206188"/>
          </a:xfrm>
          <a:prstGeom prst="rect">
            <a:avLst/>
          </a:prstGeom>
          <a:solidFill>
            <a:srgbClr val="15131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 u="non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  <a:endParaRPr lang="pt-BR" sz="1100" b="1" u="non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361276</xdr:colOff>
      <xdr:row>0</xdr:row>
      <xdr:rowOff>0</xdr:rowOff>
    </xdr:from>
    <xdr:to>
      <xdr:col>12</xdr:col>
      <xdr:colOff>510988</xdr:colOff>
      <xdr:row>1</xdr:row>
      <xdr:rowOff>2882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pSpPr/>
      </xdr:nvGrpSpPr>
      <xdr:grpSpPr>
        <a:xfrm>
          <a:off x="6457276" y="0"/>
          <a:ext cx="1368912" cy="863494"/>
          <a:chOff x="6430382" y="0"/>
          <a:chExt cx="1368912" cy="944764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GrpSpPr/>
        </xdr:nvGrpSpPr>
        <xdr:grpSpPr>
          <a:xfrm>
            <a:off x="6430382" y="0"/>
            <a:ext cx="1368912" cy="944764"/>
            <a:chOff x="6430382" y="0"/>
            <a:chExt cx="1368912" cy="887506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6430382" y="0"/>
              <a:ext cx="1368912" cy="887506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 txBox="1"/>
          </xdr:nvSpPr>
          <xdr:spPr>
            <a:xfrm>
              <a:off x="6546730" y="600634"/>
              <a:ext cx="1163129" cy="20618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u="none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DASHBOARD</a:t>
              </a:r>
              <a:endParaRPr lang="pt-BR" sz="1100" b="1" u="none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60688" y="89646"/>
            <a:ext cx="486000" cy="486000"/>
          </a:xfrm>
          <a:prstGeom prst="rect">
            <a:avLst/>
          </a:prstGeom>
          <a:solidFill>
            <a:sysClr val="window" lastClr="FFFFFF"/>
          </a:solidFill>
        </xdr:spPr>
      </xdr:pic>
    </xdr:grpSp>
    <xdr:clientData/>
  </xdr:twoCellAnchor>
  <xdr:twoCellAnchor>
    <xdr:from>
      <xdr:col>4</xdr:col>
      <xdr:colOff>549089</xdr:colOff>
      <xdr:row>2</xdr:row>
      <xdr:rowOff>53789</xdr:rowOff>
    </xdr:from>
    <xdr:to>
      <xdr:col>12</xdr:col>
      <xdr:colOff>244289</xdr:colOff>
      <xdr:row>36</xdr:row>
      <xdr:rowOff>17929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19</xdr:col>
      <xdr:colOff>313316</xdr:colOff>
      <xdr:row>18</xdr:row>
      <xdr:rowOff>134471</xdr:rowOff>
    </xdr:from>
    <xdr:to>
      <xdr:col>27</xdr:col>
      <xdr:colOff>8516</xdr:colOff>
      <xdr:row>36</xdr:row>
      <xdr:rowOff>23309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536090</xdr:colOff>
      <xdr:row>2</xdr:row>
      <xdr:rowOff>57823</xdr:rowOff>
    </xdr:from>
    <xdr:to>
      <xdr:col>18</xdr:col>
      <xdr:colOff>385482</xdr:colOff>
      <xdr:row>19</xdr:row>
      <xdr:rowOff>62752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19</xdr:col>
      <xdr:colOff>299870</xdr:colOff>
      <xdr:row>2</xdr:row>
      <xdr:rowOff>82029</xdr:rowOff>
    </xdr:from>
    <xdr:to>
      <xdr:col>26</xdr:col>
      <xdr:colOff>421341</xdr:colOff>
      <xdr:row>16</xdr:row>
      <xdr:rowOff>17929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510989</xdr:colOff>
      <xdr:row>20</xdr:row>
      <xdr:rowOff>142539</xdr:rowOff>
    </xdr:from>
    <xdr:to>
      <xdr:col>18</xdr:col>
      <xdr:colOff>439271</xdr:colOff>
      <xdr:row>36</xdr:row>
      <xdr:rowOff>17033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0</xdr:col>
      <xdr:colOff>170326</xdr:colOff>
      <xdr:row>2</xdr:row>
      <xdr:rowOff>143435</xdr:rowOff>
    </xdr:from>
    <xdr:to>
      <xdr:col>4</xdr:col>
      <xdr:colOff>171376</xdr:colOff>
      <xdr:row>38</xdr:row>
      <xdr:rowOff>24847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Meses (data)">
              <a:extLst>
                <a:ext uri="{FF2B5EF4-FFF2-40B4-BE49-F238E27FC236}">
                  <a16:creationId xmlns:a16="http://schemas.microsoft.com/office/drawing/2014/main" id="{00000000-0008-0000-09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326" y="1488141"/>
              <a:ext cx="2439450" cy="63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ctor Carvalho" refreshedDate="45497.957326967589" createdVersion="8" refreshedVersion="8" minRefreshableVersion="3" recordCount="62" xr:uid="{0D58B49D-3427-4A71-ACD6-BED70F1CBD96}">
  <cacheSource type="worksheet">
    <worksheetSource name="Tabela9"/>
  </cacheSource>
  <cacheFields count="11">
    <cacheField name="data" numFmtId="14">
      <sharedItems containsSemiMixedTypes="0" containsNonDate="0" containsDate="1" containsString="0" minDate="2024-01-10T00:00:00" maxDate="2025-01-01T00:00:00" count="15">
        <d v="2024-05-09T00:00:00"/>
        <d v="2024-01-10T00:00:00"/>
        <d v="2024-10-20T00:00:00"/>
        <d v="2024-12-31T00:00:00"/>
        <d v="2024-07-06T00:00:00"/>
        <d v="2024-08-10T00:00:00"/>
        <d v="2024-04-14T00:00:00"/>
        <d v="2024-05-11T00:00:00"/>
        <d v="2024-03-20T00:00:00"/>
        <d v="2024-02-20T00:00:00"/>
        <d v="2024-06-02T00:00:00"/>
        <d v="2024-09-19T00:00:00"/>
        <d v="2024-11-11T00:00:00"/>
        <d v="2024-03-21T00:00:00"/>
        <d v="2024-02-10T00:00:00" u="1"/>
      </sharedItems>
      <fieldGroup par="10"/>
    </cacheField>
    <cacheField name="marca" numFmtId="0">
      <sharedItems count="20">
        <s v="Chevrolet"/>
        <s v="Fiat"/>
        <s v="Toyota"/>
        <s v="Honda"/>
        <s v="Nissan"/>
        <s v="Renault"/>
        <s v="Hyundai"/>
        <s v="Ford"/>
        <s v="Volkswagen"/>
        <s v="Jeep"/>
        <s v="Peugeot"/>
        <s v="Citroën"/>
        <s v="Kia"/>
        <s v="BMW"/>
        <s v="Audi"/>
        <s v="Mercedes"/>
        <s v="Mitsubishi"/>
        <s v="Land Rover"/>
        <s v="Volvo"/>
        <s v="Versa" u="1"/>
      </sharedItems>
    </cacheField>
    <cacheField name="modelo" numFmtId="0">
      <sharedItems containsMixedTypes="1" containsNumber="1" containsInteger="1" minValue="208" maxValue="3008" count="37">
        <s v="Agile"/>
        <s v="Punto"/>
        <s v="Corolla"/>
        <s v="Mobi"/>
        <s v="Civic"/>
        <s v="Versa"/>
        <s v="Sandero"/>
        <s v="Etios"/>
        <s v="i30"/>
        <s v="Veloster"/>
        <s v="Focus"/>
        <s v="Onix"/>
        <s v="Golf"/>
        <s v="HB20"/>
        <s v="Sentra"/>
        <s v="Compass"/>
        <s v="Argo"/>
        <n v="208"/>
        <s v="C4 Cactus"/>
        <s v="Sportage"/>
        <s v="Série 3"/>
        <s v="A4"/>
        <s v="Classe C"/>
        <s v="Ecosport"/>
        <s v="Outlander"/>
        <s v="Evoque"/>
        <s v="XC60"/>
        <s v="Kicks"/>
        <s v="Tucson"/>
        <s v="Trailblazer"/>
        <s v="RAV4"/>
        <s v="Tiguan"/>
        <s v="Renegade"/>
        <s v="Duster"/>
        <s v="HR-V"/>
        <s v="Toro"/>
        <n v="3008"/>
      </sharedItems>
    </cacheField>
    <cacheField name="cor" numFmtId="0">
      <sharedItems/>
    </cacheField>
    <cacheField name="ano" numFmtId="0">
      <sharedItems containsSemiMixedTypes="0" containsString="0" containsNumber="1" containsInteger="1" minValue="2003" maxValue="2021"/>
    </cacheField>
    <cacheField name="câmbio" numFmtId="0">
      <sharedItems count="2">
        <s v="Manual"/>
        <s v="Automático"/>
      </sharedItems>
    </cacheField>
    <cacheField name="combustivel" numFmtId="0">
      <sharedItems count="4">
        <s v="Flex"/>
        <s v="Álcool"/>
        <s v="Gasolina"/>
        <s v="GNV" u="1"/>
      </sharedItems>
    </cacheField>
    <cacheField name="categoria" numFmtId="0">
      <sharedItems count="3">
        <s v="SEMI NOVO"/>
        <s v="0KM"/>
        <s v="0 Km" u="1"/>
      </sharedItems>
    </cacheField>
    <cacheField name="valor" numFmtId="165">
      <sharedItems containsSemiMixedTypes="0" containsString="0" containsNumber="1" containsInteger="1" minValue="15000" maxValue="250000"/>
    </cacheField>
    <cacheField name="Dias (data)" numFmtId="0" databaseField="0">
      <fieldGroup base="0">
        <rangePr groupBy="days" startDate="2024-01-10T00:00:00" endDate="2025-01-01T00:00:00"/>
        <groupItems count="368">
          <s v="&lt;10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2025"/>
        </groupItems>
      </fieldGroup>
    </cacheField>
    <cacheField name="Meses (data)" numFmtId="0" databaseField="0">
      <fieldGroup base="0">
        <rangePr groupBy="months" startDate="2024-01-10T00:00:00" endDate="2025-01-01T00:00:00"/>
        <groupItems count="14">
          <s v="&lt;10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5"/>
        </groupItems>
      </fieldGroup>
    </cacheField>
  </cacheFields>
  <extLst>
    <ext xmlns:x14="http://schemas.microsoft.com/office/spreadsheetml/2009/9/main" uri="{725AE2AE-9491-48be-B2B4-4EB974FC3084}">
      <x14:pivotCacheDefinition pivotCacheId="6562556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s v="Prata"/>
    <n v="2011"/>
    <x v="0"/>
    <x v="0"/>
    <x v="0"/>
    <n v="28000"/>
  </r>
  <r>
    <x v="1"/>
    <x v="1"/>
    <x v="1"/>
    <s v="Preto"/>
    <n v="2019"/>
    <x v="1"/>
    <x v="0"/>
    <x v="0"/>
    <n v="21000"/>
  </r>
  <r>
    <x v="2"/>
    <x v="2"/>
    <x v="2"/>
    <s v="Vermelho"/>
    <n v="2020"/>
    <x v="0"/>
    <x v="0"/>
    <x v="1"/>
    <n v="80000"/>
  </r>
  <r>
    <x v="3"/>
    <x v="1"/>
    <x v="3"/>
    <s v="Branco"/>
    <n v="2018"/>
    <x v="0"/>
    <x v="0"/>
    <x v="0"/>
    <n v="26000"/>
  </r>
  <r>
    <x v="4"/>
    <x v="3"/>
    <x v="4"/>
    <s v="Vermelho"/>
    <n v="2003"/>
    <x v="0"/>
    <x v="1"/>
    <x v="0"/>
    <n v="31000"/>
  </r>
  <r>
    <x v="5"/>
    <x v="4"/>
    <x v="5"/>
    <s v="Branco"/>
    <n v="2014"/>
    <x v="0"/>
    <x v="0"/>
    <x v="0"/>
    <n v="25000"/>
  </r>
  <r>
    <x v="6"/>
    <x v="5"/>
    <x v="6"/>
    <s v="Prata"/>
    <n v="2011"/>
    <x v="0"/>
    <x v="0"/>
    <x v="0"/>
    <n v="17000"/>
  </r>
  <r>
    <x v="7"/>
    <x v="2"/>
    <x v="7"/>
    <s v="Branco"/>
    <n v="2021"/>
    <x v="1"/>
    <x v="0"/>
    <x v="1"/>
    <n v="80000"/>
  </r>
  <r>
    <x v="8"/>
    <x v="6"/>
    <x v="8"/>
    <s v="Prata"/>
    <n v="2012"/>
    <x v="1"/>
    <x v="0"/>
    <x v="1"/>
    <n v="90000"/>
  </r>
  <r>
    <x v="9"/>
    <x v="6"/>
    <x v="9"/>
    <s v="Prata"/>
    <n v="2012"/>
    <x v="1"/>
    <x v="0"/>
    <x v="1"/>
    <n v="60000"/>
  </r>
  <r>
    <x v="10"/>
    <x v="2"/>
    <x v="2"/>
    <s v="Branco"/>
    <n v="2019"/>
    <x v="1"/>
    <x v="0"/>
    <x v="1"/>
    <n v="100000"/>
  </r>
  <r>
    <x v="11"/>
    <x v="2"/>
    <x v="2"/>
    <s v="Preto"/>
    <n v="2020"/>
    <x v="1"/>
    <x v="2"/>
    <x v="1"/>
    <n v="100000"/>
  </r>
  <r>
    <x v="12"/>
    <x v="3"/>
    <x v="4"/>
    <s v="Branco"/>
    <n v="2018"/>
    <x v="0"/>
    <x v="0"/>
    <x v="0"/>
    <n v="85000"/>
  </r>
  <r>
    <x v="0"/>
    <x v="7"/>
    <x v="10"/>
    <s v="Cinza"/>
    <n v="2019"/>
    <x v="1"/>
    <x v="1"/>
    <x v="1"/>
    <n v="90000"/>
  </r>
  <r>
    <x v="1"/>
    <x v="0"/>
    <x v="11"/>
    <s v="Azul"/>
    <n v="2021"/>
    <x v="0"/>
    <x v="0"/>
    <x v="1"/>
    <n v="70000"/>
  </r>
  <r>
    <x v="2"/>
    <x v="8"/>
    <x v="12"/>
    <s v="Vermelho"/>
    <n v="2017"/>
    <x v="1"/>
    <x v="2"/>
    <x v="0"/>
    <n v="75000"/>
  </r>
  <r>
    <x v="3"/>
    <x v="6"/>
    <x v="13"/>
    <s v="Preto"/>
    <n v="2020"/>
    <x v="0"/>
    <x v="0"/>
    <x v="1"/>
    <n v="65000"/>
  </r>
  <r>
    <x v="4"/>
    <x v="4"/>
    <x v="14"/>
    <s v="Prata"/>
    <n v="2016"/>
    <x v="1"/>
    <x v="0"/>
    <x v="0"/>
    <n v="60000"/>
  </r>
  <r>
    <x v="5"/>
    <x v="5"/>
    <x v="6"/>
    <s v="Branco"/>
    <n v="2019"/>
    <x v="0"/>
    <x v="1"/>
    <x v="1"/>
    <n v="55000"/>
  </r>
  <r>
    <x v="6"/>
    <x v="9"/>
    <x v="15"/>
    <s v="Cinza"/>
    <n v="2021"/>
    <x v="1"/>
    <x v="2"/>
    <x v="0"/>
    <n v="130000"/>
  </r>
  <r>
    <x v="7"/>
    <x v="1"/>
    <x v="16"/>
    <s v="Azul"/>
    <n v="2018"/>
    <x v="0"/>
    <x v="0"/>
    <x v="1"/>
    <n v="50000"/>
  </r>
  <r>
    <x v="8"/>
    <x v="2"/>
    <x v="2"/>
    <s v="Preto"/>
    <n v="2020"/>
    <x v="1"/>
    <x v="2"/>
    <x v="0"/>
    <n v="95000"/>
  </r>
  <r>
    <x v="9"/>
    <x v="3"/>
    <x v="4"/>
    <s v="Branco"/>
    <n v="2018"/>
    <x v="0"/>
    <x v="0"/>
    <x v="1"/>
    <n v="80000"/>
  </r>
  <r>
    <x v="10"/>
    <x v="7"/>
    <x v="10"/>
    <s v="Cinza"/>
    <n v="2019"/>
    <x v="1"/>
    <x v="1"/>
    <x v="0"/>
    <n v="85000"/>
  </r>
  <r>
    <x v="11"/>
    <x v="0"/>
    <x v="11"/>
    <s v="Azul"/>
    <n v="2021"/>
    <x v="0"/>
    <x v="0"/>
    <x v="1"/>
    <n v="70000"/>
  </r>
  <r>
    <x v="12"/>
    <x v="8"/>
    <x v="12"/>
    <s v="Vermelho"/>
    <n v="2017"/>
    <x v="1"/>
    <x v="2"/>
    <x v="0"/>
    <n v="75000"/>
  </r>
  <r>
    <x v="0"/>
    <x v="6"/>
    <x v="13"/>
    <s v="Preto"/>
    <n v="2020"/>
    <x v="0"/>
    <x v="2"/>
    <x v="0"/>
    <n v="60000"/>
  </r>
  <r>
    <x v="1"/>
    <x v="4"/>
    <x v="14"/>
    <s v="Prata"/>
    <n v="2016"/>
    <x v="1"/>
    <x v="0"/>
    <x v="1"/>
    <n v="65000"/>
  </r>
  <r>
    <x v="2"/>
    <x v="5"/>
    <x v="6"/>
    <s v="Branco"/>
    <n v="2019"/>
    <x v="0"/>
    <x v="1"/>
    <x v="0"/>
    <n v="50000"/>
  </r>
  <r>
    <x v="3"/>
    <x v="9"/>
    <x v="15"/>
    <s v="Cinza"/>
    <n v="2021"/>
    <x v="1"/>
    <x v="2"/>
    <x v="1"/>
    <n v="135000"/>
  </r>
  <r>
    <x v="4"/>
    <x v="1"/>
    <x v="16"/>
    <s v="Azul"/>
    <n v="2018"/>
    <x v="0"/>
    <x v="0"/>
    <x v="0"/>
    <n v="45000"/>
  </r>
  <r>
    <x v="5"/>
    <x v="10"/>
    <x v="17"/>
    <s v="Vermelho"/>
    <n v="2019"/>
    <x v="1"/>
    <x v="2"/>
    <x v="1"/>
    <n v="55000"/>
  </r>
  <r>
    <x v="6"/>
    <x v="11"/>
    <x v="18"/>
    <s v="Branco"/>
    <n v="2021"/>
    <x v="0"/>
    <x v="0"/>
    <x v="0"/>
    <n v="75000"/>
  </r>
  <r>
    <x v="7"/>
    <x v="12"/>
    <x v="19"/>
    <s v="Preto"/>
    <n v="2018"/>
    <x v="1"/>
    <x v="0"/>
    <x v="1"/>
    <n v="120000"/>
  </r>
  <r>
    <x v="8"/>
    <x v="13"/>
    <x v="20"/>
    <s v="Cinza"/>
    <n v="2020"/>
    <x v="1"/>
    <x v="2"/>
    <x v="0"/>
    <n v="150000"/>
  </r>
  <r>
    <x v="9"/>
    <x v="14"/>
    <x v="21"/>
    <s v="Azul"/>
    <n v="2017"/>
    <x v="0"/>
    <x v="0"/>
    <x v="1"/>
    <n v="140000"/>
  </r>
  <r>
    <x v="10"/>
    <x v="15"/>
    <x v="22"/>
    <s v="Preto"/>
    <n v="2019"/>
    <x v="1"/>
    <x v="2"/>
    <x v="0"/>
    <n v="200000"/>
  </r>
  <r>
    <x v="11"/>
    <x v="7"/>
    <x v="23"/>
    <s v="Branco"/>
    <n v="2020"/>
    <x v="0"/>
    <x v="1"/>
    <x v="1"/>
    <n v="75000"/>
  </r>
  <r>
    <x v="12"/>
    <x v="16"/>
    <x v="24"/>
    <s v="Prata"/>
    <n v="2016"/>
    <x v="1"/>
    <x v="0"/>
    <x v="0"/>
    <n v="95000"/>
  </r>
  <r>
    <x v="0"/>
    <x v="17"/>
    <x v="25"/>
    <s v="Cinza"/>
    <n v="2018"/>
    <x v="1"/>
    <x v="2"/>
    <x v="1"/>
    <n v="250000"/>
  </r>
  <r>
    <x v="1"/>
    <x v="18"/>
    <x v="26"/>
    <s v="Azul"/>
    <n v="2021"/>
    <x v="0"/>
    <x v="0"/>
    <x v="0"/>
    <n v="200000"/>
  </r>
  <r>
    <x v="2"/>
    <x v="4"/>
    <x v="27"/>
    <s v="Vermelho"/>
    <n v="2019"/>
    <x v="1"/>
    <x v="2"/>
    <x v="1"/>
    <n v="90000"/>
  </r>
  <r>
    <x v="3"/>
    <x v="6"/>
    <x v="28"/>
    <s v="Branco"/>
    <n v="2021"/>
    <x v="0"/>
    <x v="0"/>
    <x v="0"/>
    <n v="120000"/>
  </r>
  <r>
    <x v="4"/>
    <x v="0"/>
    <x v="29"/>
    <s v="Preto"/>
    <n v="2020"/>
    <x v="1"/>
    <x v="2"/>
    <x v="1"/>
    <n v="150000"/>
  </r>
  <r>
    <x v="5"/>
    <x v="2"/>
    <x v="30"/>
    <s v="Cinza"/>
    <n v="2018"/>
    <x v="1"/>
    <x v="2"/>
    <x v="0"/>
    <n v="140000"/>
  </r>
  <r>
    <x v="6"/>
    <x v="8"/>
    <x v="31"/>
    <s v="Azul"/>
    <n v="2017"/>
    <x v="0"/>
    <x v="0"/>
    <x v="1"/>
    <n v="125000"/>
  </r>
  <r>
    <x v="7"/>
    <x v="9"/>
    <x v="32"/>
    <s v="Preto"/>
    <n v="2019"/>
    <x v="1"/>
    <x v="2"/>
    <x v="0"/>
    <n v="110000"/>
  </r>
  <r>
    <x v="8"/>
    <x v="5"/>
    <x v="33"/>
    <s v="Branco"/>
    <n v="2020"/>
    <x v="0"/>
    <x v="1"/>
    <x v="1"/>
    <n v="80000"/>
  </r>
  <r>
    <x v="9"/>
    <x v="3"/>
    <x v="34"/>
    <s v="Prata"/>
    <n v="2016"/>
    <x v="1"/>
    <x v="0"/>
    <x v="0"/>
    <n v="95000"/>
  </r>
  <r>
    <x v="10"/>
    <x v="1"/>
    <x v="35"/>
    <s v="Cinza"/>
    <n v="2018"/>
    <x v="1"/>
    <x v="2"/>
    <x v="1"/>
    <n v="110000"/>
  </r>
  <r>
    <x v="11"/>
    <x v="10"/>
    <x v="36"/>
    <s v="Azul"/>
    <n v="2021"/>
    <x v="0"/>
    <x v="0"/>
    <x v="0"/>
    <n v="130000"/>
  </r>
  <r>
    <x v="12"/>
    <x v="10"/>
    <x v="17"/>
    <s v="Vermelho"/>
    <n v="2019"/>
    <x v="1"/>
    <x v="2"/>
    <x v="0"/>
    <n v="55000"/>
  </r>
  <r>
    <x v="0"/>
    <x v="11"/>
    <x v="18"/>
    <s v="Branco"/>
    <n v="2021"/>
    <x v="0"/>
    <x v="0"/>
    <x v="1"/>
    <n v="75000"/>
  </r>
  <r>
    <x v="1"/>
    <x v="12"/>
    <x v="19"/>
    <s v="Preto"/>
    <n v="2018"/>
    <x v="1"/>
    <x v="0"/>
    <x v="0"/>
    <n v="115000"/>
  </r>
  <r>
    <x v="2"/>
    <x v="13"/>
    <x v="20"/>
    <s v="Cinza"/>
    <n v="2020"/>
    <x v="1"/>
    <x v="2"/>
    <x v="1"/>
    <n v="145000"/>
  </r>
  <r>
    <x v="3"/>
    <x v="14"/>
    <x v="21"/>
    <s v="Azul"/>
    <n v="2017"/>
    <x v="0"/>
    <x v="0"/>
    <x v="0"/>
    <n v="135000"/>
  </r>
  <r>
    <x v="4"/>
    <x v="15"/>
    <x v="22"/>
    <s v="Preto"/>
    <n v="2019"/>
    <x v="1"/>
    <x v="2"/>
    <x v="1"/>
    <n v="190000"/>
  </r>
  <r>
    <x v="5"/>
    <x v="7"/>
    <x v="23"/>
    <s v="Branco"/>
    <n v="2020"/>
    <x v="0"/>
    <x v="1"/>
    <x v="0"/>
    <n v="70000"/>
  </r>
  <r>
    <x v="6"/>
    <x v="16"/>
    <x v="24"/>
    <s v="Prata"/>
    <n v="2016"/>
    <x v="1"/>
    <x v="0"/>
    <x v="1"/>
    <n v="100000"/>
  </r>
  <r>
    <x v="7"/>
    <x v="17"/>
    <x v="25"/>
    <s v="Cinza"/>
    <n v="2018"/>
    <x v="1"/>
    <x v="2"/>
    <x v="0"/>
    <n v="240000"/>
  </r>
  <r>
    <x v="8"/>
    <x v="18"/>
    <x v="26"/>
    <s v="Azul"/>
    <n v="2021"/>
    <x v="0"/>
    <x v="0"/>
    <x v="1"/>
    <n v="195000"/>
  </r>
  <r>
    <x v="13"/>
    <x v="5"/>
    <x v="6"/>
    <s v="Prata"/>
    <n v="2014"/>
    <x v="0"/>
    <x v="0"/>
    <x v="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CE09E-C2FA-4047-8CE9-5C26A7853466}" name="Tabela dinâmica1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5">
  <location ref="C3:D22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axis="axisRow" showAll="0">
      <items count="21">
        <item x="0"/>
        <item x="1"/>
        <item x="3"/>
        <item x="5"/>
        <item x="2"/>
        <item m="1" x="19"/>
        <item x="6"/>
        <item x="7"/>
        <item x="8"/>
        <item x="4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oma de valor" fld="8" baseField="0" baseItem="0" numFmtId="164"/>
  </dataFields>
  <formats count="1">
    <format dxfId="247">
      <pivotArea outline="0" collapsedLevelsAreSubtotals="1" fieldPosition="0"/>
    </format>
  </format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135A8-B162-4C1F-9399-63F0581C0E8C}" name="Tabela dinâmica11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>
  <location ref="A3:A15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1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549284-BE11-4ED8-8F79-429FBC176E85}" name="Tabela dinâmica5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21">
  <location ref="L3:M6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m="1" x="3"/>
        <item t="default"/>
      </items>
    </pivotField>
    <pivotField showAll="0"/>
    <pivotField dataField="1"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6"/>
  </rowFields>
  <rowItems count="3">
    <i>
      <x/>
    </i>
    <i>
      <x v="1"/>
    </i>
    <i>
      <x v="2"/>
    </i>
  </rowItems>
  <colItems count="1">
    <i/>
  </colItems>
  <dataFields count="1">
    <dataField name="Soma de valor" fld="8" baseField="0" baseItem="0" numFmtId="164"/>
  </dataFields>
  <formats count="1">
    <format dxfId="246">
      <pivotArea outline="0" collapsedLevelsAreSubtotals="1" fieldPosition="0"/>
    </format>
  </formats>
  <chartFormats count="3"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BFB14C-553F-4ACC-8C4E-1D3A9A6AD02A}" name="Tabela dinâmica4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7">
  <location ref="I3:J5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m="1" x="2"/>
        <item t="default"/>
      </items>
    </pivotField>
    <pivotField dataField="1"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7"/>
  </rowFields>
  <rowItems count="2">
    <i>
      <x/>
    </i>
    <i>
      <x v="1"/>
    </i>
  </rowItems>
  <colItems count="1">
    <i/>
  </colItems>
  <dataFields count="1">
    <dataField name="Soma de valor" fld="8" baseField="0" baseItem="0" numFmtId="164"/>
  </dataFields>
  <formats count="1">
    <format dxfId="245">
      <pivotArea outline="0" collapsedLevelsAreSubtotals="1" fieldPosition="0"/>
    </format>
  </formats>
  <chartFormats count="5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BF9F9-676D-4952-955F-7D2883C597C1}" name="Tabela dinâmica3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5">
  <location ref="O3:P5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5"/>
  </rowFields>
  <rowItems count="2">
    <i>
      <x/>
    </i>
    <i>
      <x v="1"/>
    </i>
  </rowItems>
  <colItems count="1">
    <i/>
  </colItems>
  <dataFields count="1">
    <dataField name="Soma de valor" fld="8" baseField="0" baseItem="0" numFmtId="164"/>
  </dataFields>
  <formats count="1">
    <format dxfId="244">
      <pivotArea outline="0" collapsedLevelsAreSubtotals="1" fieldPosition="0"/>
    </format>
  </formats>
  <chartFormats count="9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F7EDA-1E1E-4874-92EE-D20590D2C6CD}" name="Tabela dinâmica2" cacheId="49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5">
  <location ref="F3:G40" firstHeaderRow="1" firstDataRow="1" firstDataCol="1"/>
  <pivotFields count="11">
    <pivotField numFmtId="14" showAll="0">
      <items count="16">
        <item x="1"/>
        <item x="0"/>
        <item x="4"/>
        <item x="5"/>
        <item x="2"/>
        <item x="3"/>
        <item x="6"/>
        <item x="7"/>
        <item x="8"/>
        <item m="1" x="14"/>
        <item x="9"/>
        <item x="10"/>
        <item x="11"/>
        <item x="12"/>
        <item x="13"/>
        <item t="default"/>
      </items>
    </pivotField>
    <pivotField showAll="0"/>
    <pivotField axis="axisRow" showAll="0">
      <items count="38">
        <item x="0"/>
        <item x="4"/>
        <item x="2"/>
        <item x="7"/>
        <item x="3"/>
        <item x="1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5"/>
        <item t="default"/>
      </items>
    </pivotField>
    <pivotField showAll="0"/>
    <pivotField showAll="0"/>
    <pivotField showAll="0"/>
    <pivotField showAll="0"/>
    <pivotField showAll="0"/>
    <pivotField dataField="1"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2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Items count="1">
    <i/>
  </colItems>
  <dataFields count="1">
    <dataField name="Soma de valor" fld="8" baseField="0" baseItem="0" numFmtId="164"/>
  </dataFields>
  <formats count="1">
    <format dxfId="243">
      <pivotArea outline="0" collapsedLevelsAreSubtotals="1" fieldPosition="0"/>
    </format>
  </format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data" xr10:uid="{D0DD9AB5-0909-4C29-94F3-1FBF19AAB746}" sourceName="Meses (data)">
  <pivotTables>
    <pivotTable tabId="20" name="Tabela dinâmica4"/>
    <pivotTable tabId="20" name="Tabela dinâmica1"/>
    <pivotTable tabId="20" name="Tabela dinâmica11"/>
    <pivotTable tabId="20" name="Tabela dinâmica2"/>
    <pivotTable tabId="20" name="Tabela dinâmica3"/>
    <pivotTable tabId="20" name="Tabela dinâmica5"/>
  </pivotTables>
  <data>
    <tabular pivotCacheId="656255649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data)" xr10:uid="{C6D0B954-7F72-4893-9E79-BA9ACDAAD803}" cache="SegmentaçãodeDados_Meses__data" caption="Mês da Venda" style="Estilo de Segmentação de Dados 1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94D6EA-E913-40DA-B9A4-9C9E2E9D56A0}" name="Tabela9" displayName="Tabela9" ref="D5:L67" totalsRowShown="0" headerRowDxfId="263" dataDxfId="262">
  <autoFilter ref="D5:L67" xr:uid="{D094D6EA-E913-40DA-B9A4-9C9E2E9D56A0}"/>
  <tableColumns count="9">
    <tableColumn id="1" xr3:uid="{1E7B15D1-B311-44BE-A61D-825A4A87D786}" name="data" dataDxfId="261"/>
    <tableColumn id="2" xr3:uid="{30B7325A-8D5F-448B-B859-02BEFB439DA6}" name="marca" dataDxfId="260"/>
    <tableColumn id="3" xr3:uid="{BA3E5245-4B01-4D4B-B47A-A446E83A3F84}" name="modelo" dataDxfId="259"/>
    <tableColumn id="4" xr3:uid="{02874E4C-0573-482E-8299-D1E906673BAB}" name="cor" dataDxfId="258"/>
    <tableColumn id="5" xr3:uid="{7B0EB5BC-DDF6-44C6-B9ED-5AFBB90E8D65}" name="ano" dataDxfId="257"/>
    <tableColumn id="6" xr3:uid="{C35AE100-3961-440A-A195-EF8859A05799}" name="câmbio" dataDxfId="256"/>
    <tableColumn id="7" xr3:uid="{621F1DB2-C6CF-4DE3-BBBA-05E7DFE14F28}" name="combustivel" dataDxfId="255"/>
    <tableColumn id="8" xr3:uid="{21F79A5A-F584-4643-8ABA-6992F1AFBEDD}" name="categoria" dataDxfId="254"/>
    <tableColumn id="9" xr3:uid="{2272171C-DCE4-44EE-94B3-8F0994BFEC48}" name="valor" dataDxfId="25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EE2F-D466-4E5D-87CE-0EB3EB396A9A}">
  <sheetPr codeName="Planilha2">
    <pageSetUpPr fitToPage="1"/>
  </sheetPr>
  <dimension ref="A1:AI2"/>
  <sheetViews>
    <sheetView showGridLines="0" showRowColHeaders="0" zoomScale="85" zoomScaleNormal="85" workbookViewId="0">
      <selection activeCell="R30" sqref="R30"/>
    </sheetView>
  </sheetViews>
  <sheetFormatPr defaultRowHeight="14.4" x14ac:dyDescent="0.3"/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</sheetData>
  <pageMargins left="0.511811024" right="0.511811024" top="0.78740157499999996" bottom="0.78740157499999996" header="0.31496062000000002" footer="0.31496062000000002"/>
  <pageSetup paperSize="9" scale="44" fitToHeight="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3D723-0109-47EF-9487-5C2476AE8E93}">
  <sheetPr codeName="Planilha3">
    <pageSetUpPr fitToPage="1"/>
  </sheetPr>
  <dimension ref="A1:AI55"/>
  <sheetViews>
    <sheetView showGridLines="0" showRowColHeaders="0" zoomScale="85" zoomScaleNormal="85" workbookViewId="0">
      <selection activeCell="B3" sqref="B3"/>
    </sheetView>
  </sheetViews>
  <sheetFormatPr defaultRowHeight="14.4" x14ac:dyDescent="0.3"/>
  <cols>
    <col min="1" max="2" width="8.88671875" customWidth="1"/>
    <col min="5" max="6" width="8.88671875" customWidth="1"/>
    <col min="9" max="9" width="10.6640625" bestFit="1" customWidth="1"/>
    <col min="10" max="10" width="11.33203125" bestFit="1" customWidth="1"/>
    <col min="11" max="11" width="10.6640625" bestFit="1" customWidth="1"/>
    <col min="12" max="12" width="13.33203125" style="11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9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7.950000000000003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24.6" customHeight="1" x14ac:dyDescent="0.3"/>
    <row r="4" spans="1:35" ht="25.2" customHeight="1" x14ac:dyDescent="0.3">
      <c r="L4"/>
    </row>
    <row r="5" spans="1:35" ht="25.2" customHeight="1" x14ac:dyDescent="0.3">
      <c r="L5"/>
    </row>
    <row r="6" spans="1:35" ht="25.2" customHeight="1" x14ac:dyDescent="0.3">
      <c r="L6"/>
    </row>
    <row r="7" spans="1:35" ht="25.2" customHeight="1" x14ac:dyDescent="0.3">
      <c r="L7"/>
    </row>
    <row r="8" spans="1:35" ht="25.2" customHeight="1" x14ac:dyDescent="0.3"/>
    <row r="9" spans="1:35" ht="25.2" customHeight="1" x14ac:dyDescent="0.3"/>
    <row r="10" spans="1:35" ht="25.2" customHeight="1" x14ac:dyDescent="0.3"/>
    <row r="11" spans="1:35" ht="30" customHeight="1" x14ac:dyDescent="0.3"/>
    <row r="12" spans="1:35" ht="30" customHeight="1" x14ac:dyDescent="0.3"/>
    <row r="13" spans="1:35" ht="30" customHeight="1" x14ac:dyDescent="0.3"/>
    <row r="14" spans="1:35" ht="30" customHeight="1" x14ac:dyDescent="0.3"/>
    <row r="15" spans="1:35" ht="30" customHeight="1" x14ac:dyDescent="0.3"/>
    <row r="16" spans="1:35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</sheetData>
  <pageMargins left="0.511811024" right="0.511811024" top="0.78740157499999996" bottom="0.78740157499999996" header="0.31496062000000002" footer="0.31496062000000002"/>
  <pageSetup paperSize="9" scale="2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388C-E2BF-47FB-BFD4-F598B007B986}">
  <sheetPr codeName="Planilha1">
    <pageSetUpPr fitToPage="1"/>
  </sheetPr>
  <dimension ref="A1:AI55"/>
  <sheetViews>
    <sheetView zoomScale="85" zoomScaleNormal="85" workbookViewId="0">
      <selection activeCell="E5" sqref="E5:L5"/>
    </sheetView>
  </sheetViews>
  <sheetFormatPr defaultRowHeight="14.4" x14ac:dyDescent="0.3"/>
  <cols>
    <col min="1" max="2" width="8.88671875" customWidth="1"/>
    <col min="5" max="6" width="8.88671875" customWidth="1"/>
    <col min="8" max="8" width="8.88671875" customWidth="1"/>
    <col min="9" max="9" width="10.6640625" bestFit="1" customWidth="1"/>
    <col min="10" max="10" width="11.33203125" bestFit="1" customWidth="1"/>
    <col min="11" max="11" width="10.6640625" bestFit="1" customWidth="1"/>
    <col min="12" max="12" width="14.109375" style="11" customWidth="1"/>
    <col min="13" max="13" width="28.33203125" customWidth="1"/>
    <col min="14" max="14" width="8.88671875" customWidth="1"/>
    <col min="16" max="16" width="8.33203125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9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7.950000000000003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24.6" customHeight="1" x14ac:dyDescent="0.3"/>
    <row r="4" spans="1:35" ht="25.2" customHeight="1" x14ac:dyDescent="0.3">
      <c r="E4" s="17" t="s">
        <v>0</v>
      </c>
      <c r="F4" s="17" t="s">
        <v>1</v>
      </c>
      <c r="G4" s="17" t="s">
        <v>2</v>
      </c>
      <c r="H4" s="17" t="s">
        <v>3</v>
      </c>
      <c r="I4" s="17" t="s">
        <v>4</v>
      </c>
      <c r="J4" s="17" t="s">
        <v>5</v>
      </c>
      <c r="K4" s="17" t="s">
        <v>6</v>
      </c>
      <c r="L4" s="18" t="s">
        <v>7</v>
      </c>
      <c r="M4" s="18" t="s">
        <v>8</v>
      </c>
      <c r="Q4" s="26"/>
      <c r="R4" s="27"/>
    </row>
    <row r="5" spans="1:35" ht="25.2" customHeight="1" x14ac:dyDescent="0.3">
      <c r="E5" s="19" t="s">
        <v>9</v>
      </c>
      <c r="F5" s="19" t="s">
        <v>10</v>
      </c>
      <c r="G5" s="19" t="s">
        <v>11</v>
      </c>
      <c r="H5" s="19">
        <v>2011</v>
      </c>
      <c r="I5" s="19" t="s">
        <v>12</v>
      </c>
      <c r="J5" s="19" t="s">
        <v>13</v>
      </c>
      <c r="K5" s="19" t="s">
        <v>14</v>
      </c>
      <c r="L5" s="20">
        <v>28000</v>
      </c>
      <c r="Q5" s="28"/>
      <c r="R5" s="29"/>
      <c r="T5" s="19"/>
      <c r="U5" s="19"/>
      <c r="V5" s="19"/>
      <c r="W5" s="19"/>
      <c r="X5" s="19"/>
      <c r="Y5" s="19"/>
      <c r="Z5" s="19"/>
      <c r="AA5" s="20"/>
    </row>
    <row r="6" spans="1:35" ht="25.2" customHeight="1" x14ac:dyDescent="0.3">
      <c r="E6" s="19" t="s">
        <v>15</v>
      </c>
      <c r="F6" s="19" t="s">
        <v>16</v>
      </c>
      <c r="G6" s="19" t="s">
        <v>17</v>
      </c>
      <c r="H6" s="19">
        <v>2003</v>
      </c>
      <c r="I6" s="19" t="s">
        <v>12</v>
      </c>
      <c r="J6" s="19" t="s">
        <v>18</v>
      </c>
      <c r="K6" s="19" t="s">
        <v>14</v>
      </c>
      <c r="L6" s="20">
        <v>31000</v>
      </c>
      <c r="M6" s="19"/>
      <c r="Q6" s="26"/>
      <c r="R6" s="27"/>
    </row>
    <row r="7" spans="1:35" ht="25.2" customHeight="1" x14ac:dyDescent="0.3">
      <c r="E7" s="19" t="s">
        <v>19</v>
      </c>
      <c r="F7" s="19" t="s">
        <v>20</v>
      </c>
      <c r="G7" s="19" t="s">
        <v>21</v>
      </c>
      <c r="H7" s="19">
        <v>2022</v>
      </c>
      <c r="I7" s="19" t="s">
        <v>22</v>
      </c>
      <c r="J7" s="19" t="s">
        <v>13</v>
      </c>
      <c r="K7" s="19" t="s">
        <v>23</v>
      </c>
      <c r="L7" s="20">
        <v>420000</v>
      </c>
      <c r="M7" s="19"/>
      <c r="Q7" s="28"/>
      <c r="R7" s="29"/>
    </row>
    <row r="8" spans="1:35" ht="25.2" customHeight="1" x14ac:dyDescent="0.3">
      <c r="E8" s="19" t="s">
        <v>24</v>
      </c>
      <c r="F8" s="19" t="s">
        <v>25</v>
      </c>
      <c r="G8" s="19" t="s">
        <v>26</v>
      </c>
      <c r="H8" s="19">
        <v>2018</v>
      </c>
      <c r="I8" s="19" t="s">
        <v>12</v>
      </c>
      <c r="J8" s="19" t="s">
        <v>13</v>
      </c>
      <c r="K8" s="19" t="s">
        <v>14</v>
      </c>
      <c r="L8" s="20">
        <v>26000</v>
      </c>
      <c r="Q8" s="29"/>
      <c r="R8" s="27"/>
    </row>
    <row r="9" spans="1:35" ht="25.2" customHeight="1" x14ac:dyDescent="0.3">
      <c r="E9" s="19" t="s">
        <v>24</v>
      </c>
      <c r="F9" s="19" t="s">
        <v>27</v>
      </c>
      <c r="G9" s="19" t="s">
        <v>28</v>
      </c>
      <c r="H9" s="19">
        <v>2019</v>
      </c>
      <c r="I9" s="19" t="s">
        <v>22</v>
      </c>
      <c r="J9" s="19" t="s">
        <v>13</v>
      </c>
      <c r="K9" s="19" t="s">
        <v>14</v>
      </c>
      <c r="L9" s="20">
        <v>21000</v>
      </c>
      <c r="M9" s="19"/>
      <c r="Q9" s="25"/>
      <c r="R9" s="22"/>
    </row>
    <row r="10" spans="1:35" ht="25.2" customHeight="1" x14ac:dyDescent="0.3">
      <c r="E10" s="19" t="s">
        <v>29</v>
      </c>
      <c r="F10" s="19" t="s">
        <v>30</v>
      </c>
      <c r="G10" s="19" t="s">
        <v>17</v>
      </c>
      <c r="H10" s="19">
        <v>2020</v>
      </c>
      <c r="I10" s="19" t="s">
        <v>12</v>
      </c>
      <c r="J10" s="19" t="s">
        <v>13</v>
      </c>
      <c r="K10" s="19" t="s">
        <v>23</v>
      </c>
      <c r="L10" s="20">
        <v>80000</v>
      </c>
      <c r="M10" s="19"/>
      <c r="Q10" s="23"/>
      <c r="R10" s="24"/>
    </row>
    <row r="11" spans="1:35" ht="30" customHeight="1" x14ac:dyDescent="0.3">
      <c r="Q11" s="25"/>
      <c r="R11" s="22"/>
    </row>
    <row r="12" spans="1:35" ht="30" customHeight="1" x14ac:dyDescent="0.3">
      <c r="Q12" s="23"/>
      <c r="R12" s="24"/>
    </row>
    <row r="13" spans="1:35" ht="30" customHeight="1" x14ac:dyDescent="0.3">
      <c r="Q13" s="25"/>
      <c r="R13" s="22"/>
    </row>
    <row r="14" spans="1:35" ht="30" customHeight="1" x14ac:dyDescent="0.3">
      <c r="M14" s="14"/>
      <c r="Q14" s="23"/>
      <c r="R14" s="24"/>
    </row>
    <row r="15" spans="1:35" ht="30" customHeight="1" x14ac:dyDescent="0.3">
      <c r="Q15" s="25"/>
      <c r="R15" s="22"/>
    </row>
    <row r="16" spans="1:35" ht="30" customHeight="1" x14ac:dyDescent="0.3">
      <c r="Q16" s="23"/>
      <c r="R16" s="24"/>
    </row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</sheetData>
  <pageMargins left="0.511811024" right="0.511811024" top="0.78740157499999996" bottom="0.78740157499999996" header="0.31496062000000002" footer="0.31496062000000002"/>
  <pageSetup paperSize="9" scale="2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7" r:id="rId4" name="Check Box 55">
              <controlPr defaultSize="0" autoFill="0" autoLine="0" autoPict="0">
                <anchor moveWithCells="1">
                  <from>
                    <xdr:col>12</xdr:col>
                    <xdr:colOff>68580</xdr:colOff>
                    <xdr:row>4</xdr:row>
                    <xdr:rowOff>83820</xdr:rowOff>
                  </from>
                  <to>
                    <xdr:col>12</xdr:col>
                    <xdr:colOff>800100</xdr:colOff>
                    <xdr:row>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" name="Check Box 56">
              <controlPr defaultSize="0" autoFill="0" autoLine="0" autoPict="0">
                <anchor moveWithCells="1">
                  <from>
                    <xdr:col>12</xdr:col>
                    <xdr:colOff>1028700</xdr:colOff>
                    <xdr:row>4</xdr:row>
                    <xdr:rowOff>53340</xdr:rowOff>
                  </from>
                  <to>
                    <xdr:col>12</xdr:col>
                    <xdr:colOff>1882140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" name="Check Box 68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83820</xdr:rowOff>
                  </from>
                  <to>
                    <xdr:col>12</xdr:col>
                    <xdr:colOff>800100</xdr:colOff>
                    <xdr:row>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" name="Check Box 69">
              <controlPr defaultSize="0" autoFill="0" autoLine="0" autoPict="0">
                <anchor moveWithCells="1">
                  <from>
                    <xdr:col>12</xdr:col>
                    <xdr:colOff>1028700</xdr:colOff>
                    <xdr:row>5</xdr:row>
                    <xdr:rowOff>53340</xdr:rowOff>
                  </from>
                  <to>
                    <xdr:col>12</xdr:col>
                    <xdr:colOff>1882140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8" name="Check Box 70">
              <controlPr defaultSize="0" autoFill="0" autoLine="0" autoPict="0">
                <anchor moveWithCells="1">
                  <from>
                    <xdr:col>12</xdr:col>
                    <xdr:colOff>68580</xdr:colOff>
                    <xdr:row>6</xdr:row>
                    <xdr:rowOff>83820</xdr:rowOff>
                  </from>
                  <to>
                    <xdr:col>12</xdr:col>
                    <xdr:colOff>800100</xdr:colOff>
                    <xdr:row>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9" name="Check Box 71">
              <controlPr defaultSize="0" autoFill="0" autoLine="0" autoPict="0">
                <anchor moveWithCells="1">
                  <from>
                    <xdr:col>12</xdr:col>
                    <xdr:colOff>1028700</xdr:colOff>
                    <xdr:row>6</xdr:row>
                    <xdr:rowOff>53340</xdr:rowOff>
                  </from>
                  <to>
                    <xdr:col>12</xdr:col>
                    <xdr:colOff>1882140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0" name="Check Box 72">
              <controlPr defaultSize="0" autoFill="0" autoLine="0" autoPict="0">
                <anchor moveWithCells="1">
                  <from>
                    <xdr:col>12</xdr:col>
                    <xdr:colOff>68580</xdr:colOff>
                    <xdr:row>7</xdr:row>
                    <xdr:rowOff>83820</xdr:rowOff>
                  </from>
                  <to>
                    <xdr:col>12</xdr:col>
                    <xdr:colOff>800100</xdr:colOff>
                    <xdr:row>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1" name="Check Box 73">
              <controlPr defaultSize="0" autoFill="0" autoLine="0" autoPict="0">
                <anchor moveWithCells="1">
                  <from>
                    <xdr:col>12</xdr:col>
                    <xdr:colOff>1028700</xdr:colOff>
                    <xdr:row>7</xdr:row>
                    <xdr:rowOff>53340</xdr:rowOff>
                  </from>
                  <to>
                    <xdr:col>12</xdr:col>
                    <xdr:colOff>1882140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12" name="Check Box 74">
              <controlPr defaultSize="0" autoFill="0" autoLine="0" autoPict="0">
                <anchor moveWithCells="1">
                  <from>
                    <xdr:col>12</xdr:col>
                    <xdr:colOff>68580</xdr:colOff>
                    <xdr:row>8</xdr:row>
                    <xdr:rowOff>83820</xdr:rowOff>
                  </from>
                  <to>
                    <xdr:col>12</xdr:col>
                    <xdr:colOff>800100</xdr:colOff>
                    <xdr:row>8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13" name="Check Box 75">
              <controlPr defaultSize="0" autoFill="0" autoLine="0" autoPict="0">
                <anchor moveWithCells="1">
                  <from>
                    <xdr:col>12</xdr:col>
                    <xdr:colOff>1028700</xdr:colOff>
                    <xdr:row>8</xdr:row>
                    <xdr:rowOff>53340</xdr:rowOff>
                  </from>
                  <to>
                    <xdr:col>12</xdr:col>
                    <xdr:colOff>1882140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4" name="Check Box 95">
              <controlPr defaultSize="0" autoFill="0" autoLine="0" autoPict="0">
                <anchor moveWithCells="1">
                  <from>
                    <xdr:col>12</xdr:col>
                    <xdr:colOff>68580</xdr:colOff>
                    <xdr:row>9</xdr:row>
                    <xdr:rowOff>83820</xdr:rowOff>
                  </from>
                  <to>
                    <xdr:col>12</xdr:col>
                    <xdr:colOff>800100</xdr:colOff>
                    <xdr:row>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5" name="Check Box 96">
              <controlPr defaultSize="0" autoFill="0" autoLine="0" autoPict="0">
                <anchor moveWithCells="1">
                  <from>
                    <xdr:col>12</xdr:col>
                    <xdr:colOff>1028700</xdr:colOff>
                    <xdr:row>9</xdr:row>
                    <xdr:rowOff>53340</xdr:rowOff>
                  </from>
                  <to>
                    <xdr:col>12</xdr:col>
                    <xdr:colOff>1882140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07B5-ADE7-4895-896D-5A350654BD1F}">
  <sheetPr codeName="Planilha4">
    <pageSetUpPr fitToPage="1"/>
  </sheetPr>
  <dimension ref="A1:AI55"/>
  <sheetViews>
    <sheetView zoomScale="85" zoomScaleNormal="85" workbookViewId="0">
      <selection activeCell="E4" sqref="E4"/>
    </sheetView>
  </sheetViews>
  <sheetFormatPr defaultRowHeight="14.4" x14ac:dyDescent="0.3"/>
  <cols>
    <col min="1" max="2" width="8.88671875" customWidth="1"/>
    <col min="5" max="5" width="9.88671875" customWidth="1"/>
    <col min="6" max="6" width="12.44140625" bestFit="1" customWidth="1"/>
    <col min="7" max="8" width="9.88671875" customWidth="1"/>
    <col min="9" max="9" width="10.6640625" customWidth="1"/>
    <col min="10" max="10" width="11.33203125" bestFit="1" customWidth="1"/>
    <col min="11" max="11" width="12.44140625" bestFit="1" customWidth="1"/>
    <col min="12" max="12" width="13.33203125" style="11" bestFit="1" customWidth="1"/>
    <col min="13" max="13" width="11.33203125" customWidth="1"/>
    <col min="14" max="14" width="12.33203125" customWidth="1"/>
    <col min="15" max="15" width="13.33203125" bestFit="1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9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7.950000000000003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24.6" customHeight="1" x14ac:dyDescent="0.3"/>
    <row r="4" spans="1:35" ht="25.2" customHeight="1" x14ac:dyDescent="0.3">
      <c r="E4" s="15" t="s">
        <v>31</v>
      </c>
      <c r="F4" s="8" t="s">
        <v>32</v>
      </c>
      <c r="G4" s="15" t="s">
        <v>33</v>
      </c>
      <c r="H4" s="8" t="s">
        <v>34</v>
      </c>
      <c r="I4" s="12" t="s">
        <v>35</v>
      </c>
      <c r="J4" s="12" t="s">
        <v>36</v>
      </c>
      <c r="K4" s="12" t="s">
        <v>37</v>
      </c>
      <c r="L4" s="12" t="s">
        <v>38</v>
      </c>
    </row>
    <row r="5" spans="1:35" ht="25.2" customHeight="1" x14ac:dyDescent="0.3">
      <c r="E5" s="14" t="s">
        <v>39</v>
      </c>
      <c r="F5" s="34">
        <v>12345678911</v>
      </c>
      <c r="G5" s="14" t="s">
        <v>40</v>
      </c>
      <c r="H5" s="34">
        <v>11945476888</v>
      </c>
      <c r="I5" s="14" t="s">
        <v>41</v>
      </c>
      <c r="J5" s="14" t="s">
        <v>42</v>
      </c>
      <c r="K5" s="14" t="s">
        <v>23</v>
      </c>
      <c r="L5" s="14">
        <v>100000</v>
      </c>
    </row>
    <row r="6" spans="1:35" ht="25.2" customHeight="1" x14ac:dyDescent="0.3">
      <c r="E6" t="s">
        <v>43</v>
      </c>
      <c r="F6" s="35">
        <v>53360406818</v>
      </c>
      <c r="G6" t="s">
        <v>44</v>
      </c>
      <c r="H6" s="35">
        <v>11945476833</v>
      </c>
      <c r="I6" t="s">
        <v>45</v>
      </c>
      <c r="J6" t="s">
        <v>42</v>
      </c>
      <c r="K6" t="s">
        <v>14</v>
      </c>
      <c r="L6">
        <v>30000</v>
      </c>
    </row>
    <row r="7" spans="1:35" ht="25.2" customHeight="1" x14ac:dyDescent="0.3">
      <c r="E7" t="s">
        <v>46</v>
      </c>
      <c r="F7" s="35">
        <v>53360406212</v>
      </c>
      <c r="G7" t="s">
        <v>47</v>
      </c>
      <c r="H7" s="35">
        <v>11945472125</v>
      </c>
      <c r="I7" t="s">
        <v>48</v>
      </c>
      <c r="J7" t="s">
        <v>42</v>
      </c>
      <c r="K7" t="s">
        <v>23</v>
      </c>
      <c r="L7">
        <v>20000</v>
      </c>
      <c r="N7" t="s">
        <v>49</v>
      </c>
    </row>
    <row r="8" spans="1:35" ht="25.2" customHeight="1" x14ac:dyDescent="0.3"/>
    <row r="9" spans="1:35" ht="25.2" customHeight="1" x14ac:dyDescent="0.3"/>
    <row r="10" spans="1:35" ht="25.2" customHeight="1" x14ac:dyDescent="0.3">
      <c r="E10" s="14"/>
      <c r="F10" s="14"/>
      <c r="G10" s="14"/>
      <c r="K10" s="14"/>
      <c r="L10" s="14"/>
      <c r="M10" s="14"/>
      <c r="N10" s="14"/>
      <c r="O10" s="14"/>
    </row>
    <row r="11" spans="1:35" ht="30" customHeight="1" x14ac:dyDescent="0.3"/>
    <row r="12" spans="1:35" ht="30" customHeight="1" x14ac:dyDescent="0.3"/>
    <row r="13" spans="1:35" ht="30" customHeight="1" x14ac:dyDescent="0.3"/>
    <row r="14" spans="1:35" ht="30" customHeight="1" x14ac:dyDescent="0.3">
      <c r="F14" s="14"/>
      <c r="G14" s="14"/>
      <c r="H14" s="14"/>
      <c r="I14" s="14"/>
      <c r="J14" s="14"/>
      <c r="K14" s="14"/>
      <c r="L14" s="14"/>
      <c r="M14" s="14"/>
    </row>
    <row r="15" spans="1:35" ht="30" customHeight="1" x14ac:dyDescent="0.3">
      <c r="F15" s="14"/>
      <c r="G15" s="14"/>
      <c r="H15" s="16"/>
      <c r="I15" s="14"/>
      <c r="J15" s="14"/>
      <c r="K15" s="14"/>
      <c r="L15" s="14"/>
      <c r="M15" s="14"/>
    </row>
    <row r="16" spans="1:35" ht="30" customHeight="1" x14ac:dyDescent="0.3">
      <c r="H16" s="14"/>
      <c r="L16"/>
    </row>
    <row r="17" spans="9:12" ht="30" customHeight="1" x14ac:dyDescent="0.3">
      <c r="I17" s="11"/>
      <c r="L17"/>
    </row>
    <row r="18" spans="9:12" ht="30" customHeight="1" x14ac:dyDescent="0.3">
      <c r="I18" s="11"/>
      <c r="L18"/>
    </row>
    <row r="19" spans="9:12" ht="30" customHeight="1" x14ac:dyDescent="0.3">
      <c r="I19" s="11"/>
      <c r="L19"/>
    </row>
    <row r="20" spans="9:12" ht="30" customHeight="1" x14ac:dyDescent="0.3"/>
    <row r="21" spans="9:12" ht="30" customHeight="1" x14ac:dyDescent="0.3"/>
    <row r="22" spans="9:12" ht="30" customHeight="1" x14ac:dyDescent="0.3"/>
    <row r="23" spans="9:12" ht="30" customHeight="1" x14ac:dyDescent="0.3"/>
    <row r="24" spans="9:12" ht="30" customHeight="1" x14ac:dyDescent="0.3"/>
    <row r="25" spans="9:12" ht="30" customHeight="1" x14ac:dyDescent="0.3"/>
    <row r="26" spans="9:12" ht="30" customHeight="1" x14ac:dyDescent="0.3"/>
    <row r="27" spans="9:12" ht="30" customHeight="1" x14ac:dyDescent="0.3"/>
    <row r="28" spans="9:12" ht="30" customHeight="1" x14ac:dyDescent="0.3"/>
    <row r="29" spans="9:12" ht="30" customHeight="1" x14ac:dyDescent="0.3"/>
    <row r="30" spans="9:12" ht="30" customHeight="1" x14ac:dyDescent="0.3"/>
    <row r="31" spans="9:12" ht="30" customHeight="1" x14ac:dyDescent="0.3"/>
    <row r="32" spans="9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</sheetData>
  <pageMargins left="0.511811024" right="0.511811024" top="0.78740157499999996" bottom="0.78740157499999996" header="0.31496062000000002" footer="0.31496062000000002"/>
  <pageSetup paperSize="9" scale="2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6099B-158B-49C1-8463-6F7A15C63928}">
  <sheetPr codeName="Planilha5"/>
  <dimension ref="A1:AI2"/>
  <sheetViews>
    <sheetView zoomScale="85" zoomScaleNormal="85" workbookViewId="0">
      <selection activeCell="B3" sqref="B3"/>
    </sheetView>
  </sheetViews>
  <sheetFormatPr defaultRowHeight="14.4" x14ac:dyDescent="0.3"/>
  <cols>
    <col min="1" max="17" width="8.88671875" customWidth="1"/>
    <col min="19" max="19" width="8.88671875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AF238-BA10-4B5A-9319-64B03A1712B1}">
  <sheetPr codeName="Planilha6"/>
  <dimension ref="A1:AI28"/>
  <sheetViews>
    <sheetView showGridLines="0" showRowColHeaders="0" zoomScale="85" zoomScaleNormal="85" workbookViewId="0">
      <selection activeCell="L37" sqref="L37"/>
    </sheetView>
  </sheetViews>
  <sheetFormatPr defaultRowHeight="14.4" x14ac:dyDescent="0.3"/>
  <cols>
    <col min="1" max="17" width="8.88671875" customWidth="1"/>
    <col min="19" max="19" width="8.88671875" customWidth="1"/>
    <col min="27" max="27" width="13.33203125" bestFit="1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3"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</row>
    <row r="4" spans="1:35" x14ac:dyDescent="0.3">
      <c r="Q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</row>
    <row r="5" spans="1:35" x14ac:dyDescent="0.3"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</row>
    <row r="6" spans="1:35" ht="15" thickBot="1" x14ac:dyDescent="0.35"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4"/>
      <c r="AG6" s="14"/>
      <c r="AH6" s="13"/>
    </row>
    <row r="7" spans="1:35" ht="21" x14ac:dyDescent="0.3">
      <c r="F7" s="46" t="s">
        <v>50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8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4"/>
      <c r="AG7" s="14"/>
      <c r="AH7" s="13"/>
    </row>
    <row r="8" spans="1:35" x14ac:dyDescent="0.3">
      <c r="F8" s="3"/>
      <c r="R8" s="4"/>
      <c r="S8" s="13"/>
      <c r="T8" s="13"/>
      <c r="U8" s="13"/>
      <c r="V8" s="13"/>
      <c r="W8" s="13"/>
      <c r="X8" s="13"/>
      <c r="Y8" s="13"/>
      <c r="Z8" s="13"/>
      <c r="AA8" s="21"/>
      <c r="AB8" s="13"/>
      <c r="AC8" s="13"/>
      <c r="AD8" s="13"/>
      <c r="AE8" s="13"/>
      <c r="AF8" s="14"/>
      <c r="AG8" s="14"/>
      <c r="AH8" s="13"/>
    </row>
    <row r="9" spans="1:35" ht="15.6" x14ac:dyDescent="0.3">
      <c r="F9" s="3"/>
      <c r="G9" s="44" t="s">
        <v>51</v>
      </c>
      <c r="H9" s="44"/>
      <c r="I9" s="45" t="s">
        <v>83</v>
      </c>
      <c r="J9" s="45"/>
      <c r="K9" s="45"/>
      <c r="M9" s="44" t="s">
        <v>52</v>
      </c>
      <c r="N9" s="44"/>
      <c r="O9" s="45" t="s">
        <v>85</v>
      </c>
      <c r="P9" s="45"/>
      <c r="Q9" s="45"/>
      <c r="R9" s="4"/>
      <c r="S9" s="13"/>
      <c r="T9" s="13"/>
      <c r="U9" s="13"/>
      <c r="V9" s="13"/>
      <c r="W9" s="13"/>
      <c r="X9" s="13"/>
      <c r="Y9" s="13"/>
      <c r="Z9" s="13">
        <v>2</v>
      </c>
      <c r="AA9" s="13"/>
      <c r="AB9" s="13"/>
      <c r="AC9" s="13"/>
      <c r="AD9" s="13"/>
      <c r="AE9" s="13"/>
      <c r="AF9" s="14"/>
      <c r="AG9" s="14"/>
      <c r="AH9" s="13"/>
    </row>
    <row r="10" spans="1:35" ht="15.6" x14ac:dyDescent="0.3">
      <c r="F10" s="3"/>
      <c r="G10" s="44" t="s">
        <v>53</v>
      </c>
      <c r="H10" s="44"/>
      <c r="I10" s="45" t="s">
        <v>84</v>
      </c>
      <c r="J10" s="45"/>
      <c r="K10" s="45"/>
      <c r="M10" s="44" t="s">
        <v>54</v>
      </c>
      <c r="N10" s="44"/>
      <c r="O10" s="45">
        <v>2016</v>
      </c>
      <c r="P10" s="45"/>
      <c r="Q10" s="45"/>
      <c r="R10" s="4"/>
      <c r="S10" s="13"/>
      <c r="T10" s="13" t="str">
        <f>PROPER(I10)</f>
        <v>Chevrolet</v>
      </c>
      <c r="U10" s="13" t="str">
        <f>PROPER(I9)</f>
        <v>Agile</v>
      </c>
      <c r="V10" s="13" t="str">
        <f>PROPER(O9)</f>
        <v>Preto</v>
      </c>
      <c r="W10" s="13">
        <f>O10</f>
        <v>2016</v>
      </c>
      <c r="X10" s="13" t="str">
        <f>I12</f>
        <v>Automático</v>
      </c>
      <c r="Y10" s="13" t="str">
        <f>I13</f>
        <v>Gasolina</v>
      </c>
      <c r="Z10" s="13" t="str">
        <f>IF(Z9=1,"0KM","SEMI NOVO")</f>
        <v>SEMI NOVO</v>
      </c>
      <c r="AA10" s="21">
        <f>O13</f>
        <v>30000</v>
      </c>
      <c r="AB10" s="13"/>
      <c r="AC10" s="13"/>
      <c r="AD10" s="13"/>
      <c r="AE10" s="13"/>
      <c r="AF10" s="14"/>
      <c r="AG10" s="14"/>
      <c r="AH10" s="13"/>
    </row>
    <row r="11" spans="1:35" x14ac:dyDescent="0.3">
      <c r="F11" s="3"/>
      <c r="R11" s="4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4"/>
      <c r="AG11" s="14"/>
      <c r="AH11" s="13"/>
    </row>
    <row r="12" spans="1:35" ht="15.6" x14ac:dyDescent="0.3">
      <c r="F12" s="3"/>
      <c r="G12" s="44" t="s">
        <v>55</v>
      </c>
      <c r="H12" s="44"/>
      <c r="I12" s="45" t="s">
        <v>22</v>
      </c>
      <c r="J12" s="45"/>
      <c r="K12" s="45"/>
      <c r="M12" s="44" t="s">
        <v>56</v>
      </c>
      <c r="N12" s="44"/>
      <c r="O12" s="45"/>
      <c r="P12" s="45"/>
      <c r="Q12" s="45"/>
      <c r="R12" s="4"/>
      <c r="S12" s="13"/>
      <c r="T12" s="13" t="s">
        <v>24</v>
      </c>
      <c r="U12" s="13" t="s">
        <v>25</v>
      </c>
      <c r="V12" s="13" t="s">
        <v>26</v>
      </c>
      <c r="W12" s="13">
        <v>2018</v>
      </c>
      <c r="X12" s="13" t="s">
        <v>12</v>
      </c>
      <c r="Y12" s="13" t="s">
        <v>13</v>
      </c>
      <c r="Z12" s="13" t="s">
        <v>14</v>
      </c>
      <c r="AA12" s="13">
        <v>26000</v>
      </c>
      <c r="AB12" s="13"/>
      <c r="AC12" s="13"/>
      <c r="AD12" s="13"/>
      <c r="AE12" s="13"/>
      <c r="AF12" s="14"/>
      <c r="AG12" s="14"/>
      <c r="AH12" s="13"/>
    </row>
    <row r="13" spans="1:35" ht="15.6" x14ac:dyDescent="0.3">
      <c r="F13" s="3"/>
      <c r="G13" s="44" t="s">
        <v>57</v>
      </c>
      <c r="H13" s="44"/>
      <c r="I13" s="45" t="s">
        <v>86</v>
      </c>
      <c r="J13" s="45"/>
      <c r="K13" s="45"/>
      <c r="M13" s="44" t="s">
        <v>58</v>
      </c>
      <c r="N13" s="44"/>
      <c r="O13" s="49">
        <v>30000</v>
      </c>
      <c r="P13" s="49"/>
      <c r="Q13" s="49"/>
      <c r="R13" s="4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4"/>
      <c r="AG13" s="14"/>
      <c r="AH13" s="13"/>
    </row>
    <row r="14" spans="1:35" x14ac:dyDescent="0.3">
      <c r="F14" s="3"/>
      <c r="R14" s="4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4"/>
      <c r="AG14" s="14"/>
      <c r="AH14" s="13"/>
    </row>
    <row r="15" spans="1:35" x14ac:dyDescent="0.3">
      <c r="F15" s="3"/>
      <c r="R15" s="4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4"/>
      <c r="AG15" s="14"/>
      <c r="AH15" s="13"/>
    </row>
    <row r="16" spans="1:35" x14ac:dyDescent="0.3">
      <c r="F16" s="3"/>
      <c r="R16" s="4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  <c r="AG16" s="14"/>
      <c r="AH16" s="13"/>
    </row>
    <row r="17" spans="6:34" ht="15" thickBot="1" x14ac:dyDescent="0.35">
      <c r="F17" s="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7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14"/>
      <c r="AH17" s="13"/>
    </row>
    <row r="18" spans="6:34" x14ac:dyDescent="0.3"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  <c r="AG18" s="14"/>
      <c r="AH18" s="13"/>
    </row>
    <row r="19" spans="6:34" x14ac:dyDescent="0.3"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</row>
    <row r="20" spans="6:34" x14ac:dyDescent="0.3"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</row>
    <row r="21" spans="6:34" x14ac:dyDescent="0.3"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</row>
    <row r="22" spans="6:34" x14ac:dyDescent="0.3"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</row>
    <row r="23" spans="6:34" x14ac:dyDescent="0.3"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</row>
    <row r="24" spans="6:34" x14ac:dyDescent="0.3"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</row>
    <row r="25" spans="6:34" x14ac:dyDescent="0.3"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</row>
    <row r="26" spans="6:34" x14ac:dyDescent="0.3"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</row>
    <row r="27" spans="6:34" x14ac:dyDescent="0.3"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</row>
    <row r="28" spans="6:34" x14ac:dyDescent="0.3"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</row>
  </sheetData>
  <mergeCells count="17">
    <mergeCell ref="F7:R7"/>
    <mergeCell ref="I10:K10"/>
    <mergeCell ref="I12:K12"/>
    <mergeCell ref="I13:K13"/>
    <mergeCell ref="O9:Q9"/>
    <mergeCell ref="O10:Q10"/>
    <mergeCell ref="O12:Q12"/>
    <mergeCell ref="O13:Q13"/>
    <mergeCell ref="G9:H9"/>
    <mergeCell ref="G10:H10"/>
    <mergeCell ref="G12:H12"/>
    <mergeCell ref="G13:H13"/>
    <mergeCell ref="M9:N9"/>
    <mergeCell ref="M10:N10"/>
    <mergeCell ref="M12:N12"/>
    <mergeCell ref="M13:N13"/>
    <mergeCell ref="I9:K9"/>
  </mergeCells>
  <dataValidations count="2">
    <dataValidation type="list" allowBlank="1" showInputMessage="1" showErrorMessage="1" sqref="I12:K12" xr:uid="{1BDF6D95-DE33-407B-B1F0-87DB21D61B2B}">
      <formula1>"Manual, Automático"</formula1>
    </dataValidation>
    <dataValidation type="list" allowBlank="1" showInputMessage="1" showErrorMessage="1" sqref="I13:K13" xr:uid="{4E415CCD-486C-4BB4-AD9D-85B8397EFDC1}">
      <formula1>"Gasolina, Álcool, Flex"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>
                <anchor moveWithCells="1">
                  <from>
                    <xdr:col>14</xdr:col>
                    <xdr:colOff>144780</xdr:colOff>
                    <xdr:row>11</xdr:row>
                    <xdr:rowOff>7620</xdr:rowOff>
                  </from>
                  <to>
                    <xdr:col>15</xdr:col>
                    <xdr:colOff>190500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>
                <anchor moveWithCells="1">
                  <from>
                    <xdr:col>15</xdr:col>
                    <xdr:colOff>121920</xdr:colOff>
                    <xdr:row>11</xdr:row>
                    <xdr:rowOff>7620</xdr:rowOff>
                  </from>
                  <to>
                    <xdr:col>16</xdr:col>
                    <xdr:colOff>167640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50ABC-560F-41FB-8049-A5FCE38937F3}">
  <sheetPr codeName="Planilha7"/>
  <dimension ref="A1:AI23"/>
  <sheetViews>
    <sheetView showGridLines="0" showRowColHeaders="0" zoomScale="85" zoomScaleNormal="85" workbookViewId="0">
      <selection activeCell="I9" sqref="I9:K9"/>
    </sheetView>
  </sheetViews>
  <sheetFormatPr defaultRowHeight="14.4" x14ac:dyDescent="0.3"/>
  <cols>
    <col min="1" max="17" width="8.88671875" customWidth="1"/>
    <col min="19" max="19" width="8.88671875" customWidth="1"/>
    <col min="22" max="22" width="7.88671875" customWidth="1"/>
    <col min="23" max="23" width="7.5546875" customWidth="1"/>
    <col min="24" max="24" width="9" customWidth="1"/>
    <col min="25" max="25" width="10.33203125" customWidth="1"/>
    <col min="26" max="26" width="12.44140625" bestFit="1" customWidth="1"/>
    <col min="29" max="31" width="13.33203125" bestFit="1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1:35" x14ac:dyDescent="0.3">
      <c r="P4" s="14"/>
    </row>
    <row r="5" spans="1:35" x14ac:dyDescent="0.3"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pans="1:35" ht="15" thickBot="1" x14ac:dyDescent="0.35"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3"/>
    </row>
    <row r="7" spans="1:35" ht="21" x14ac:dyDescent="0.3">
      <c r="F7" s="46" t="s">
        <v>59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8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3"/>
    </row>
    <row r="8" spans="1:35" x14ac:dyDescent="0.3">
      <c r="F8" s="3"/>
      <c r="R8" s="4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5" ht="15.6" x14ac:dyDescent="0.3">
      <c r="F9" s="3"/>
      <c r="G9" s="44" t="s">
        <v>60</v>
      </c>
      <c r="H9" s="44"/>
      <c r="I9" s="45"/>
      <c r="J9" s="45"/>
      <c r="K9" s="45"/>
      <c r="M9" s="44" t="s">
        <v>61</v>
      </c>
      <c r="N9" s="44"/>
      <c r="O9" s="45"/>
      <c r="P9" s="45"/>
      <c r="Q9" s="45"/>
      <c r="R9" s="4"/>
      <c r="T9" s="13"/>
      <c r="U9" s="13"/>
      <c r="V9" s="13"/>
      <c r="W9" s="13"/>
      <c r="X9" s="13"/>
      <c r="Y9" s="13"/>
      <c r="Z9" s="13"/>
      <c r="AA9" s="13"/>
      <c r="AB9" s="13"/>
      <c r="AC9" s="13">
        <v>1</v>
      </c>
      <c r="AD9" s="21"/>
      <c r="AE9" s="13"/>
      <c r="AF9" s="13"/>
    </row>
    <row r="10" spans="1:35" ht="15.6" x14ac:dyDescent="0.3">
      <c r="F10" s="3"/>
      <c r="G10" s="44" t="s">
        <v>62</v>
      </c>
      <c r="H10" s="44"/>
      <c r="I10" s="45"/>
      <c r="J10" s="45"/>
      <c r="K10" s="45"/>
      <c r="M10" s="44" t="s">
        <v>63</v>
      </c>
      <c r="N10" s="44"/>
      <c r="O10" s="45"/>
      <c r="P10" s="45"/>
      <c r="Q10" s="45"/>
      <c r="R10" s="4"/>
      <c r="T10" s="13" t="str">
        <f>PROPER(I9)</f>
        <v/>
      </c>
      <c r="U10" s="13"/>
      <c r="V10" s="13">
        <f>I10</f>
        <v>0</v>
      </c>
      <c r="W10" s="13">
        <f>I13</f>
        <v>0</v>
      </c>
      <c r="X10" s="13"/>
      <c r="Y10" s="13"/>
      <c r="Z10" s="13">
        <f>I12</f>
        <v>0</v>
      </c>
      <c r="AA10" s="13" t="str">
        <f>PROPER(O9)</f>
        <v/>
      </c>
      <c r="AB10" s="13" t="str">
        <f>PROPER(O10)</f>
        <v/>
      </c>
      <c r="AC10" s="13" t="str">
        <f>IF(AC9=1,"0KM","SEMI NOVO")</f>
        <v>0KM</v>
      </c>
      <c r="AD10" s="21">
        <f>O13</f>
        <v>0</v>
      </c>
      <c r="AE10" s="13"/>
      <c r="AF10" s="13"/>
    </row>
    <row r="11" spans="1:35" x14ac:dyDescent="0.3">
      <c r="F11" s="3"/>
      <c r="R11" s="4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pans="1:35" ht="15.6" x14ac:dyDescent="0.3">
      <c r="F12" s="3"/>
      <c r="G12" s="44" t="s">
        <v>64</v>
      </c>
      <c r="H12" s="44"/>
      <c r="I12" s="45"/>
      <c r="J12" s="45"/>
      <c r="K12" s="45"/>
      <c r="M12" s="44" t="s">
        <v>65</v>
      </c>
      <c r="N12" s="44"/>
      <c r="O12" s="45"/>
      <c r="P12" s="45"/>
      <c r="Q12" s="45"/>
      <c r="R12" s="4"/>
      <c r="T12" s="13" t="s">
        <v>39</v>
      </c>
      <c r="U12" s="13"/>
      <c r="V12" s="13">
        <v>12345678911</v>
      </c>
      <c r="W12" s="13" t="s">
        <v>40</v>
      </c>
      <c r="X12" s="13"/>
      <c r="Y12" s="13"/>
      <c r="Z12" s="13">
        <v>11945476888</v>
      </c>
      <c r="AA12" s="13" t="s">
        <v>41</v>
      </c>
      <c r="AB12" s="13" t="s">
        <v>42</v>
      </c>
      <c r="AC12" s="13" t="s">
        <v>23</v>
      </c>
      <c r="AD12" s="13">
        <v>100000</v>
      </c>
      <c r="AE12" s="13"/>
    </row>
    <row r="13" spans="1:35" ht="15.6" x14ac:dyDescent="0.3">
      <c r="F13" s="3"/>
      <c r="G13" s="44" t="s">
        <v>66</v>
      </c>
      <c r="H13" s="44"/>
      <c r="I13" s="50"/>
      <c r="J13" s="51"/>
      <c r="K13" s="51"/>
      <c r="M13" s="44" t="s">
        <v>67</v>
      </c>
      <c r="N13" s="44"/>
      <c r="O13" s="49"/>
      <c r="P13" s="49"/>
      <c r="Q13" s="49"/>
      <c r="R13" s="4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</row>
    <row r="14" spans="1:35" x14ac:dyDescent="0.3">
      <c r="F14" s="3"/>
      <c r="R14" s="4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</row>
    <row r="15" spans="1:35" x14ac:dyDescent="0.3">
      <c r="F15" s="3"/>
      <c r="R15" s="4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5" x14ac:dyDescent="0.3">
      <c r="F16" s="3"/>
      <c r="R16" s="4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6:31" ht="15" thickBot="1" x14ac:dyDescent="0.35">
      <c r="F17" s="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7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</row>
    <row r="18" spans="6:31" x14ac:dyDescent="0.3"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</row>
    <row r="19" spans="6:31" x14ac:dyDescent="0.3"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</row>
    <row r="20" spans="6:31" x14ac:dyDescent="0.3"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</row>
    <row r="21" spans="6:31" x14ac:dyDescent="0.3"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</row>
    <row r="22" spans="6:31" x14ac:dyDescent="0.3"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</row>
    <row r="23" spans="6:31" x14ac:dyDescent="0.3">
      <c r="Q23" s="14"/>
      <c r="R23" s="14"/>
      <c r="S23" s="14"/>
      <c r="T23" s="14"/>
    </row>
  </sheetData>
  <mergeCells count="17">
    <mergeCell ref="G10:H10"/>
    <mergeCell ref="I10:K10"/>
    <mergeCell ref="M10:N10"/>
    <mergeCell ref="O10:Q10"/>
    <mergeCell ref="F7:R7"/>
    <mergeCell ref="G9:H9"/>
    <mergeCell ref="I9:K9"/>
    <mergeCell ref="M9:N9"/>
    <mergeCell ref="O9:Q9"/>
    <mergeCell ref="G12:H12"/>
    <mergeCell ref="I12:K12"/>
    <mergeCell ref="M12:N12"/>
    <mergeCell ref="O12:Q12"/>
    <mergeCell ref="G13:H13"/>
    <mergeCell ref="I13:K13"/>
    <mergeCell ref="M13:N13"/>
    <mergeCell ref="O13:Q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>
                <anchor moveWithCells="1">
                  <from>
                    <xdr:col>14</xdr:col>
                    <xdr:colOff>144780</xdr:colOff>
                    <xdr:row>11</xdr:row>
                    <xdr:rowOff>7620</xdr:rowOff>
                  </from>
                  <to>
                    <xdr:col>15</xdr:col>
                    <xdr:colOff>190500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>
                <anchor moveWithCells="1">
                  <from>
                    <xdr:col>15</xdr:col>
                    <xdr:colOff>121920</xdr:colOff>
                    <xdr:row>11</xdr:row>
                    <xdr:rowOff>7620</xdr:rowOff>
                  </from>
                  <to>
                    <xdr:col>16</xdr:col>
                    <xdr:colOff>167640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8596-B16F-42A0-B08F-40E34AD07ECA}">
  <dimension ref="A3:P40"/>
  <sheetViews>
    <sheetView workbookViewId="0">
      <selection activeCell="A3" sqref="A3"/>
    </sheetView>
  </sheetViews>
  <sheetFormatPr defaultRowHeight="14.4" x14ac:dyDescent="0.3"/>
  <cols>
    <col min="1" max="1" width="16.77734375" bestFit="1" customWidth="1"/>
    <col min="2" max="2" width="12.6640625" bestFit="1" customWidth="1"/>
    <col min="3" max="4" width="16.77734375" bestFit="1" customWidth="1"/>
    <col min="5" max="5" width="12.6640625" bestFit="1" customWidth="1"/>
    <col min="6" max="6" width="16.77734375" bestFit="1" customWidth="1"/>
    <col min="7" max="7" width="12.6640625" bestFit="1" customWidth="1"/>
    <col min="9" max="9" width="16.77734375" bestFit="1" customWidth="1"/>
    <col min="10" max="10" width="14.21875" bestFit="1" customWidth="1"/>
    <col min="13" max="13" width="14.21875" bestFit="1" customWidth="1"/>
    <col min="15" max="15" width="16.77734375" bestFit="1" customWidth="1"/>
    <col min="16" max="16" width="14.21875" bestFit="1" customWidth="1"/>
  </cols>
  <sheetData>
    <row r="3" spans="1:16" x14ac:dyDescent="0.3">
      <c r="A3" s="31" t="s">
        <v>78</v>
      </c>
      <c r="C3" s="31" t="s">
        <v>78</v>
      </c>
      <c r="D3" t="s">
        <v>68</v>
      </c>
      <c r="F3" s="31" t="s">
        <v>78</v>
      </c>
      <c r="G3" t="s">
        <v>68</v>
      </c>
      <c r="I3" s="31" t="s">
        <v>78</v>
      </c>
      <c r="J3" t="s">
        <v>68</v>
      </c>
      <c r="L3" s="31" t="s">
        <v>78</v>
      </c>
      <c r="M3" t="s">
        <v>68</v>
      </c>
      <c r="O3" s="31" t="s">
        <v>78</v>
      </c>
      <c r="P3" t="s">
        <v>68</v>
      </c>
    </row>
    <row r="4" spans="1:16" x14ac:dyDescent="0.3">
      <c r="A4" s="43" t="s">
        <v>72</v>
      </c>
      <c r="C4" s="43" t="s">
        <v>9</v>
      </c>
      <c r="D4" s="41">
        <v>318000</v>
      </c>
      <c r="F4" s="43" t="s">
        <v>10</v>
      </c>
      <c r="G4" s="41">
        <v>28000</v>
      </c>
      <c r="I4" s="43" t="s">
        <v>23</v>
      </c>
      <c r="J4" s="41">
        <v>3090000</v>
      </c>
      <c r="L4" s="43" t="s">
        <v>18</v>
      </c>
      <c r="M4" s="41">
        <v>536000</v>
      </c>
      <c r="O4" s="43" t="s">
        <v>22</v>
      </c>
      <c r="P4" s="41">
        <v>3671000</v>
      </c>
    </row>
    <row r="5" spans="1:16" x14ac:dyDescent="0.3">
      <c r="A5" s="43" t="s">
        <v>131</v>
      </c>
      <c r="C5" s="43" t="s">
        <v>24</v>
      </c>
      <c r="D5" s="41">
        <v>252000</v>
      </c>
      <c r="F5" s="43" t="s">
        <v>16</v>
      </c>
      <c r="G5" s="41">
        <v>196000</v>
      </c>
      <c r="I5" s="43" t="s">
        <v>14</v>
      </c>
      <c r="J5" s="41">
        <v>2853000</v>
      </c>
      <c r="L5" s="43" t="s">
        <v>13</v>
      </c>
      <c r="M5" s="41">
        <v>2852000</v>
      </c>
      <c r="O5" s="43" t="s">
        <v>12</v>
      </c>
      <c r="P5" s="41">
        <v>2272000</v>
      </c>
    </row>
    <row r="6" spans="1:16" x14ac:dyDescent="0.3">
      <c r="A6" s="43" t="s">
        <v>90</v>
      </c>
      <c r="C6" s="43" t="s">
        <v>15</v>
      </c>
      <c r="D6" s="41">
        <v>291000</v>
      </c>
      <c r="F6" s="43" t="s">
        <v>30</v>
      </c>
      <c r="G6" s="41">
        <v>375000</v>
      </c>
      <c r="L6" s="43" t="s">
        <v>86</v>
      </c>
      <c r="M6" s="41">
        <v>2555000</v>
      </c>
    </row>
    <row r="7" spans="1:16" x14ac:dyDescent="0.3">
      <c r="A7" s="43" t="s">
        <v>82</v>
      </c>
      <c r="C7" s="43" t="s">
        <v>80</v>
      </c>
      <c r="D7" s="41">
        <v>217000</v>
      </c>
      <c r="F7" s="43" t="s">
        <v>87</v>
      </c>
      <c r="G7" s="41">
        <v>80000</v>
      </c>
    </row>
    <row r="8" spans="1:16" x14ac:dyDescent="0.3">
      <c r="A8" s="43" t="s">
        <v>73</v>
      </c>
      <c r="C8" s="43" t="s">
        <v>29</v>
      </c>
      <c r="D8" s="41">
        <v>595000</v>
      </c>
      <c r="F8" s="43" t="s">
        <v>25</v>
      </c>
      <c r="G8" s="41">
        <v>26000</v>
      </c>
    </row>
    <row r="9" spans="1:16" x14ac:dyDescent="0.3">
      <c r="A9" s="43" t="s">
        <v>133</v>
      </c>
      <c r="C9" s="43" t="s">
        <v>88</v>
      </c>
      <c r="D9" s="41">
        <v>395000</v>
      </c>
      <c r="F9" s="43" t="s">
        <v>27</v>
      </c>
      <c r="G9" s="41">
        <v>21000</v>
      </c>
    </row>
    <row r="10" spans="1:16" x14ac:dyDescent="0.3">
      <c r="A10" s="43" t="s">
        <v>74</v>
      </c>
      <c r="C10" s="43" t="s">
        <v>93</v>
      </c>
      <c r="D10" s="41">
        <v>320000</v>
      </c>
      <c r="F10" s="43" t="s">
        <v>81</v>
      </c>
      <c r="G10" s="41">
        <v>137000</v>
      </c>
    </row>
    <row r="11" spans="1:16" x14ac:dyDescent="0.3">
      <c r="A11" s="43" t="s">
        <v>79</v>
      </c>
      <c r="C11" s="43" t="s">
        <v>97</v>
      </c>
      <c r="D11" s="41">
        <v>275000</v>
      </c>
      <c r="F11" s="43" t="s">
        <v>89</v>
      </c>
      <c r="G11" s="41">
        <v>90000</v>
      </c>
    </row>
    <row r="12" spans="1:16" x14ac:dyDescent="0.3">
      <c r="A12" s="43" t="s">
        <v>134</v>
      </c>
      <c r="C12" s="43" t="s">
        <v>71</v>
      </c>
      <c r="D12" s="41">
        <v>240000</v>
      </c>
      <c r="F12" s="43" t="s">
        <v>132</v>
      </c>
      <c r="G12" s="41">
        <v>60000</v>
      </c>
    </row>
    <row r="13" spans="1:16" x14ac:dyDescent="0.3">
      <c r="A13" s="43" t="s">
        <v>75</v>
      </c>
      <c r="C13" s="43" t="s">
        <v>102</v>
      </c>
      <c r="D13" s="41">
        <v>375000</v>
      </c>
      <c r="F13" s="43" t="s">
        <v>94</v>
      </c>
      <c r="G13" s="41">
        <v>175000</v>
      </c>
    </row>
    <row r="14" spans="1:16" x14ac:dyDescent="0.3">
      <c r="A14" s="43" t="s">
        <v>135</v>
      </c>
      <c r="C14" s="43" t="s">
        <v>105</v>
      </c>
      <c r="D14" s="41">
        <v>240000</v>
      </c>
      <c r="F14" s="43" t="s">
        <v>96</v>
      </c>
      <c r="G14" s="41">
        <v>140000</v>
      </c>
    </row>
    <row r="15" spans="1:16" x14ac:dyDescent="0.3">
      <c r="A15" s="43" t="s">
        <v>76</v>
      </c>
      <c r="C15" s="43" t="s">
        <v>106</v>
      </c>
      <c r="D15" s="41">
        <v>150000</v>
      </c>
      <c r="F15" s="43" t="s">
        <v>98</v>
      </c>
      <c r="G15" s="41">
        <v>150000</v>
      </c>
    </row>
    <row r="16" spans="1:16" x14ac:dyDescent="0.3">
      <c r="C16" s="43" t="s">
        <v>108</v>
      </c>
      <c r="D16" s="41">
        <v>235000</v>
      </c>
      <c r="F16" s="43" t="s">
        <v>99</v>
      </c>
      <c r="G16" s="41">
        <v>125000</v>
      </c>
    </row>
    <row r="17" spans="3:7" x14ac:dyDescent="0.3">
      <c r="C17" s="43" t="s">
        <v>110</v>
      </c>
      <c r="D17" s="41">
        <v>295000</v>
      </c>
      <c r="F17" s="43" t="s">
        <v>101</v>
      </c>
      <c r="G17" s="41">
        <v>125000</v>
      </c>
    </row>
    <row r="18" spans="3:7" x14ac:dyDescent="0.3">
      <c r="C18" s="43" t="s">
        <v>112</v>
      </c>
      <c r="D18" s="41">
        <v>275000</v>
      </c>
      <c r="F18" s="43" t="s">
        <v>103</v>
      </c>
      <c r="G18" s="41">
        <v>265000</v>
      </c>
    </row>
    <row r="19" spans="3:7" x14ac:dyDescent="0.3">
      <c r="C19" s="43" t="s">
        <v>114</v>
      </c>
      <c r="D19" s="41">
        <v>390000</v>
      </c>
      <c r="F19" s="43" t="s">
        <v>104</v>
      </c>
      <c r="G19" s="41">
        <v>95000</v>
      </c>
    </row>
    <row r="20" spans="3:7" x14ac:dyDescent="0.3">
      <c r="C20" s="43" t="s">
        <v>117</v>
      </c>
      <c r="D20" s="41">
        <v>195000</v>
      </c>
      <c r="F20" s="43">
        <v>208</v>
      </c>
      <c r="G20" s="41">
        <v>110000</v>
      </c>
    </row>
    <row r="21" spans="3:7" x14ac:dyDescent="0.3">
      <c r="C21" s="43" t="s">
        <v>119</v>
      </c>
      <c r="D21" s="41">
        <v>490000</v>
      </c>
      <c r="F21" s="43" t="s">
        <v>107</v>
      </c>
      <c r="G21" s="41">
        <v>150000</v>
      </c>
    </row>
    <row r="22" spans="3:7" x14ac:dyDescent="0.3">
      <c r="C22" s="43" t="s">
        <v>19</v>
      </c>
      <c r="D22" s="41">
        <v>395000</v>
      </c>
      <c r="F22" s="43" t="s">
        <v>109</v>
      </c>
      <c r="G22" s="41">
        <v>235000</v>
      </c>
    </row>
    <row r="23" spans="3:7" x14ac:dyDescent="0.3">
      <c r="F23" s="43" t="s">
        <v>111</v>
      </c>
      <c r="G23" s="41">
        <v>295000</v>
      </c>
    </row>
    <row r="24" spans="3:7" x14ac:dyDescent="0.3">
      <c r="F24" s="43" t="s">
        <v>113</v>
      </c>
      <c r="G24" s="41">
        <v>275000</v>
      </c>
    </row>
    <row r="25" spans="3:7" x14ac:dyDescent="0.3">
      <c r="F25" s="43" t="s">
        <v>115</v>
      </c>
      <c r="G25" s="41">
        <v>390000</v>
      </c>
    </row>
    <row r="26" spans="3:7" x14ac:dyDescent="0.3">
      <c r="F26" s="43" t="s">
        <v>116</v>
      </c>
      <c r="G26" s="41">
        <v>145000</v>
      </c>
    </row>
    <row r="27" spans="3:7" x14ac:dyDescent="0.3">
      <c r="F27" s="43" t="s">
        <v>118</v>
      </c>
      <c r="G27" s="41">
        <v>195000</v>
      </c>
    </row>
    <row r="28" spans="3:7" x14ac:dyDescent="0.3">
      <c r="F28" s="43" t="s">
        <v>120</v>
      </c>
      <c r="G28" s="41">
        <v>490000</v>
      </c>
    </row>
    <row r="29" spans="3:7" x14ac:dyDescent="0.3">
      <c r="F29" s="43" t="s">
        <v>121</v>
      </c>
      <c r="G29" s="41">
        <v>395000</v>
      </c>
    </row>
    <row r="30" spans="3:7" x14ac:dyDescent="0.3">
      <c r="F30" s="43" t="s">
        <v>122</v>
      </c>
      <c r="G30" s="41">
        <v>90000</v>
      </c>
    </row>
    <row r="31" spans="3:7" x14ac:dyDescent="0.3">
      <c r="F31" s="43" t="s">
        <v>123</v>
      </c>
      <c r="G31" s="41">
        <v>120000</v>
      </c>
    </row>
    <row r="32" spans="3:7" x14ac:dyDescent="0.3">
      <c r="F32" s="43" t="s">
        <v>124</v>
      </c>
      <c r="G32" s="41">
        <v>150000</v>
      </c>
    </row>
    <row r="33" spans="6:7" x14ac:dyDescent="0.3">
      <c r="F33" s="43" t="s">
        <v>125</v>
      </c>
      <c r="G33" s="41">
        <v>140000</v>
      </c>
    </row>
    <row r="34" spans="6:7" x14ac:dyDescent="0.3">
      <c r="F34" s="43" t="s">
        <v>126</v>
      </c>
      <c r="G34" s="41">
        <v>125000</v>
      </c>
    </row>
    <row r="35" spans="6:7" x14ac:dyDescent="0.3">
      <c r="F35" s="43" t="s">
        <v>127</v>
      </c>
      <c r="G35" s="41">
        <v>110000</v>
      </c>
    </row>
    <row r="36" spans="6:7" x14ac:dyDescent="0.3">
      <c r="F36" s="43" t="s">
        <v>128</v>
      </c>
      <c r="G36" s="41">
        <v>80000</v>
      </c>
    </row>
    <row r="37" spans="6:7" x14ac:dyDescent="0.3">
      <c r="F37" s="43" t="s">
        <v>129</v>
      </c>
      <c r="G37" s="41">
        <v>95000</v>
      </c>
    </row>
    <row r="38" spans="6:7" x14ac:dyDescent="0.3">
      <c r="F38" s="43" t="s">
        <v>130</v>
      </c>
      <c r="G38" s="41">
        <v>110000</v>
      </c>
    </row>
    <row r="39" spans="6:7" x14ac:dyDescent="0.3">
      <c r="F39" s="43">
        <v>3008</v>
      </c>
      <c r="G39" s="41">
        <v>130000</v>
      </c>
    </row>
    <row r="40" spans="6:7" x14ac:dyDescent="0.3">
      <c r="F40" s="43" t="s">
        <v>77</v>
      </c>
      <c r="G40" s="41">
        <v>25000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E1E2-B322-4ABB-9B66-497CAA6A7152}">
  <sheetPr codeName="Planilha8"/>
  <dimension ref="A1:AI67"/>
  <sheetViews>
    <sheetView zoomScale="85" zoomScaleNormal="85" workbookViewId="0">
      <selection activeCell="L37" sqref="L37"/>
    </sheetView>
  </sheetViews>
  <sheetFormatPr defaultRowHeight="14.4" x14ac:dyDescent="0.3"/>
  <cols>
    <col min="4" max="4" width="11.109375" bestFit="1" customWidth="1"/>
    <col min="5" max="5" width="8.88671875" customWidth="1"/>
    <col min="6" max="6" width="9.33203125" customWidth="1"/>
    <col min="9" max="9" width="10.6640625" bestFit="1" customWidth="1"/>
    <col min="10" max="10" width="13.33203125" customWidth="1"/>
    <col min="11" max="11" width="10.88671875" customWidth="1"/>
    <col min="12" max="12" width="14.44140625" customWidth="1"/>
  </cols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5" spans="1:35" x14ac:dyDescent="0.3">
      <c r="D5" s="39" t="s">
        <v>69</v>
      </c>
      <c r="E5" s="32" t="s">
        <v>0</v>
      </c>
      <c r="F5" s="32" t="s">
        <v>1</v>
      </c>
      <c r="G5" s="32" t="s">
        <v>2</v>
      </c>
      <c r="H5" s="32" t="s">
        <v>3</v>
      </c>
      <c r="I5" s="32" t="s">
        <v>4</v>
      </c>
      <c r="J5" s="32" t="s">
        <v>5</v>
      </c>
      <c r="K5" s="32" t="s">
        <v>6</v>
      </c>
      <c r="L5" s="33" t="s">
        <v>7</v>
      </c>
    </row>
    <row r="6" spans="1:35" x14ac:dyDescent="0.3">
      <c r="D6" s="42">
        <v>45421</v>
      </c>
      <c r="E6" s="19" t="s">
        <v>9</v>
      </c>
      <c r="F6" s="19" t="s">
        <v>10</v>
      </c>
      <c r="G6" s="19" t="s">
        <v>11</v>
      </c>
      <c r="H6" s="19">
        <v>2011</v>
      </c>
      <c r="I6" s="19" t="s">
        <v>12</v>
      </c>
      <c r="J6" s="19" t="s">
        <v>13</v>
      </c>
      <c r="K6" s="19" t="s">
        <v>14</v>
      </c>
      <c r="L6" s="20">
        <v>28000</v>
      </c>
    </row>
    <row r="7" spans="1:35" x14ac:dyDescent="0.3">
      <c r="D7" s="38">
        <v>45301</v>
      </c>
      <c r="E7" s="19" t="s">
        <v>24</v>
      </c>
      <c r="F7" s="19" t="s">
        <v>27</v>
      </c>
      <c r="G7" s="19" t="s">
        <v>28</v>
      </c>
      <c r="H7" s="19">
        <v>2019</v>
      </c>
      <c r="I7" s="19" t="s">
        <v>22</v>
      </c>
      <c r="J7" s="19" t="s">
        <v>13</v>
      </c>
      <c r="K7" s="19" t="s">
        <v>14</v>
      </c>
      <c r="L7" s="20">
        <v>21000</v>
      </c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35" x14ac:dyDescent="0.3">
      <c r="D8" s="37">
        <v>45585</v>
      </c>
      <c r="E8" s="19" t="s">
        <v>29</v>
      </c>
      <c r="F8" s="19" t="s">
        <v>30</v>
      </c>
      <c r="G8" s="19" t="s">
        <v>17</v>
      </c>
      <c r="H8" s="19">
        <v>2020</v>
      </c>
      <c r="I8" s="19" t="s">
        <v>12</v>
      </c>
      <c r="J8" s="19" t="s">
        <v>13</v>
      </c>
      <c r="K8" s="19" t="s">
        <v>23</v>
      </c>
      <c r="L8" s="20">
        <v>80000</v>
      </c>
      <c r="O8" s="30"/>
      <c r="P8" s="30"/>
      <c r="Q8" s="30"/>
      <c r="R8" s="52" t="s">
        <v>70</v>
      </c>
      <c r="S8" s="52"/>
      <c r="T8" s="52"/>
      <c r="U8" s="52"/>
      <c r="V8" s="52"/>
      <c r="W8" s="30"/>
      <c r="X8" s="30"/>
      <c r="Y8" s="30"/>
    </row>
    <row r="9" spans="1:35" x14ac:dyDescent="0.3">
      <c r="D9" s="38">
        <v>45657</v>
      </c>
      <c r="E9" s="19" t="s">
        <v>24</v>
      </c>
      <c r="F9" s="19" t="s">
        <v>25</v>
      </c>
      <c r="G9" s="19" t="s">
        <v>26</v>
      </c>
      <c r="H9" s="19">
        <v>2018</v>
      </c>
      <c r="I9" s="19" t="s">
        <v>12</v>
      </c>
      <c r="J9" s="19" t="s">
        <v>13</v>
      </c>
      <c r="K9" s="19" t="s">
        <v>14</v>
      </c>
      <c r="L9" s="20">
        <v>26000</v>
      </c>
      <c r="O9" s="30"/>
      <c r="P9" s="30"/>
      <c r="Q9" s="30"/>
      <c r="R9" s="52"/>
      <c r="S9" s="52"/>
      <c r="T9" s="52"/>
      <c r="U9" s="52"/>
      <c r="V9" s="52"/>
      <c r="W9" s="30"/>
      <c r="X9" s="30"/>
      <c r="Y9" s="30"/>
    </row>
    <row r="10" spans="1:35" x14ac:dyDescent="0.3">
      <c r="D10" s="40">
        <v>45479</v>
      </c>
      <c r="E10" s="19" t="s">
        <v>15</v>
      </c>
      <c r="F10" s="19" t="s">
        <v>16</v>
      </c>
      <c r="G10" s="19" t="s">
        <v>17</v>
      </c>
      <c r="H10" s="19">
        <v>2003</v>
      </c>
      <c r="I10" s="19" t="s">
        <v>12</v>
      </c>
      <c r="J10" s="19" t="s">
        <v>18</v>
      </c>
      <c r="K10" s="19" t="s">
        <v>14</v>
      </c>
      <c r="L10" s="20">
        <v>31000</v>
      </c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35" x14ac:dyDescent="0.3">
      <c r="D11" s="42">
        <v>45514</v>
      </c>
      <c r="E11" s="19" t="s">
        <v>71</v>
      </c>
      <c r="F11" s="19" t="s">
        <v>77</v>
      </c>
      <c r="G11" s="19" t="s">
        <v>26</v>
      </c>
      <c r="H11" s="19">
        <v>2014</v>
      </c>
      <c r="I11" s="19" t="s">
        <v>12</v>
      </c>
      <c r="J11" s="19" t="s">
        <v>13</v>
      </c>
      <c r="K11" s="19" t="s">
        <v>14</v>
      </c>
      <c r="L11" s="20">
        <v>25000</v>
      </c>
      <c r="O11" s="30"/>
      <c r="P11" s="30"/>
      <c r="Q11" s="53">
        <f>SUM(L:L)</f>
        <v>5943000</v>
      </c>
      <c r="R11" s="53"/>
      <c r="S11" s="53"/>
      <c r="T11" s="53"/>
      <c r="U11" s="53"/>
      <c r="V11" s="53"/>
      <c r="W11" s="53"/>
      <c r="X11" s="30"/>
      <c r="Y11" s="30"/>
    </row>
    <row r="12" spans="1:35" x14ac:dyDescent="0.3">
      <c r="D12" s="42">
        <v>45396</v>
      </c>
      <c r="E12" s="19" t="s">
        <v>80</v>
      </c>
      <c r="F12" s="19" t="s">
        <v>81</v>
      </c>
      <c r="G12" s="19" t="s">
        <v>11</v>
      </c>
      <c r="H12" s="19">
        <v>2011</v>
      </c>
      <c r="I12" s="19" t="s">
        <v>12</v>
      </c>
      <c r="J12" s="19" t="s">
        <v>13</v>
      </c>
      <c r="K12" s="19" t="s">
        <v>14</v>
      </c>
      <c r="L12" s="20">
        <v>17000</v>
      </c>
      <c r="O12" s="30"/>
      <c r="P12" s="30"/>
      <c r="Q12" s="53"/>
      <c r="R12" s="53"/>
      <c r="S12" s="53"/>
      <c r="T12" s="53"/>
      <c r="U12" s="53"/>
      <c r="V12" s="53"/>
      <c r="W12" s="53"/>
      <c r="X12" s="30"/>
      <c r="Y12" s="30"/>
    </row>
    <row r="13" spans="1:35" x14ac:dyDescent="0.3">
      <c r="D13" s="42">
        <v>45423</v>
      </c>
      <c r="E13" s="19" t="s">
        <v>29</v>
      </c>
      <c r="F13" s="19" t="s">
        <v>87</v>
      </c>
      <c r="G13" s="19" t="s">
        <v>26</v>
      </c>
      <c r="H13" s="19">
        <v>2021</v>
      </c>
      <c r="I13" s="19" t="s">
        <v>22</v>
      </c>
      <c r="J13" s="19" t="s">
        <v>13</v>
      </c>
      <c r="K13" s="19" t="s">
        <v>23</v>
      </c>
      <c r="L13" s="20">
        <v>80000</v>
      </c>
      <c r="O13" s="30"/>
      <c r="P13" s="30"/>
      <c r="Q13" s="53"/>
      <c r="R13" s="53"/>
      <c r="S13" s="53"/>
      <c r="T13" s="53"/>
      <c r="U13" s="53"/>
      <c r="V13" s="53"/>
      <c r="W13" s="53"/>
      <c r="X13" s="30"/>
      <c r="Y13" s="30"/>
    </row>
    <row r="14" spans="1:35" x14ac:dyDescent="0.3">
      <c r="D14" s="42">
        <v>45371</v>
      </c>
      <c r="E14" s="19" t="s">
        <v>88</v>
      </c>
      <c r="F14" s="19" t="s">
        <v>89</v>
      </c>
      <c r="G14" s="19" t="s">
        <v>11</v>
      </c>
      <c r="H14" s="19">
        <v>2012</v>
      </c>
      <c r="I14" s="19" t="s">
        <v>22</v>
      </c>
      <c r="J14" s="19" t="s">
        <v>13</v>
      </c>
      <c r="K14" s="19" t="s">
        <v>23</v>
      </c>
      <c r="L14" s="20">
        <v>90000</v>
      </c>
      <c r="O14" s="30"/>
      <c r="P14" s="30"/>
      <c r="Q14" s="53"/>
      <c r="R14" s="53"/>
      <c r="S14" s="53"/>
      <c r="T14" s="53"/>
      <c r="U14" s="53"/>
      <c r="V14" s="53"/>
      <c r="W14" s="53"/>
      <c r="X14" s="30"/>
      <c r="Y14" s="30"/>
    </row>
    <row r="15" spans="1:35" x14ac:dyDescent="0.3">
      <c r="D15" s="42">
        <v>45342</v>
      </c>
      <c r="E15" s="19" t="s">
        <v>88</v>
      </c>
      <c r="F15" s="19" t="s">
        <v>132</v>
      </c>
      <c r="G15" s="19" t="s">
        <v>11</v>
      </c>
      <c r="H15" s="19">
        <v>2012</v>
      </c>
      <c r="I15" s="19" t="s">
        <v>22</v>
      </c>
      <c r="J15" s="19" t="s">
        <v>13</v>
      </c>
      <c r="K15" s="19" t="s">
        <v>23</v>
      </c>
      <c r="L15" s="20">
        <v>60000</v>
      </c>
      <c r="O15" s="30"/>
      <c r="P15" s="30"/>
      <c r="Q15" s="53"/>
      <c r="R15" s="53"/>
      <c r="S15" s="53"/>
      <c r="T15" s="53"/>
      <c r="U15" s="53"/>
      <c r="V15" s="53"/>
      <c r="W15" s="53"/>
      <c r="X15" s="30"/>
      <c r="Y15" s="30"/>
    </row>
    <row r="16" spans="1:35" x14ac:dyDescent="0.3">
      <c r="D16" s="42">
        <v>45445</v>
      </c>
      <c r="E16" s="19" t="s">
        <v>29</v>
      </c>
      <c r="F16" s="19" t="s">
        <v>30</v>
      </c>
      <c r="G16" s="19" t="s">
        <v>26</v>
      </c>
      <c r="H16" s="19">
        <v>2019</v>
      </c>
      <c r="I16" s="19" t="s">
        <v>22</v>
      </c>
      <c r="J16" s="19" t="s">
        <v>13</v>
      </c>
      <c r="K16" s="19" t="s">
        <v>23</v>
      </c>
      <c r="L16" s="20">
        <v>100000</v>
      </c>
      <c r="O16" s="30"/>
      <c r="P16" s="30"/>
      <c r="Q16" s="53"/>
      <c r="R16" s="53"/>
      <c r="S16" s="53"/>
      <c r="T16" s="53"/>
      <c r="U16" s="53"/>
      <c r="V16" s="53"/>
      <c r="W16" s="53"/>
      <c r="X16" s="30"/>
      <c r="Y16" s="30"/>
    </row>
    <row r="17" spans="4:25" x14ac:dyDescent="0.3">
      <c r="D17" s="42">
        <v>45554</v>
      </c>
      <c r="E17" s="19" t="s">
        <v>29</v>
      </c>
      <c r="F17" s="19" t="s">
        <v>30</v>
      </c>
      <c r="G17" s="19" t="s">
        <v>28</v>
      </c>
      <c r="H17" s="19">
        <v>2020</v>
      </c>
      <c r="I17" s="19" t="s">
        <v>22</v>
      </c>
      <c r="J17" s="19" t="s">
        <v>86</v>
      </c>
      <c r="K17" s="19" t="s">
        <v>23</v>
      </c>
      <c r="L17" s="20">
        <v>100000</v>
      </c>
      <c r="O17" s="30"/>
      <c r="P17" s="30"/>
      <c r="Q17" s="53"/>
      <c r="R17" s="53"/>
      <c r="S17" s="53"/>
      <c r="T17" s="53"/>
      <c r="U17" s="53"/>
      <c r="V17" s="53"/>
      <c r="W17" s="53"/>
      <c r="X17" s="30"/>
      <c r="Y17" s="30"/>
    </row>
    <row r="18" spans="4:25" x14ac:dyDescent="0.3">
      <c r="D18" s="42">
        <v>45607</v>
      </c>
      <c r="E18" s="19" t="s">
        <v>15</v>
      </c>
      <c r="F18" s="19" t="s">
        <v>16</v>
      </c>
      <c r="G18" s="19" t="s">
        <v>26</v>
      </c>
      <c r="H18" s="19">
        <v>2018</v>
      </c>
      <c r="I18" s="19" t="s">
        <v>12</v>
      </c>
      <c r="J18" s="19" t="s">
        <v>13</v>
      </c>
      <c r="K18" s="19" t="s">
        <v>92</v>
      </c>
      <c r="L18" s="20">
        <v>85000</v>
      </c>
      <c r="O18" s="30"/>
      <c r="P18" s="30"/>
      <c r="Q18" s="53"/>
      <c r="R18" s="53"/>
      <c r="S18" s="53"/>
      <c r="T18" s="53"/>
      <c r="U18" s="53"/>
      <c r="V18" s="53"/>
      <c r="W18" s="53"/>
      <c r="X18" s="30"/>
      <c r="Y18" s="30"/>
    </row>
    <row r="19" spans="4:25" x14ac:dyDescent="0.3">
      <c r="D19" s="42">
        <v>45421</v>
      </c>
      <c r="E19" s="19" t="s">
        <v>93</v>
      </c>
      <c r="F19" s="19" t="s">
        <v>94</v>
      </c>
      <c r="G19" s="19" t="s">
        <v>95</v>
      </c>
      <c r="H19" s="19">
        <v>2019</v>
      </c>
      <c r="I19" s="19" t="s">
        <v>22</v>
      </c>
      <c r="J19" s="19" t="s">
        <v>18</v>
      </c>
      <c r="K19" s="19" t="s">
        <v>23</v>
      </c>
      <c r="L19" s="20">
        <v>90000</v>
      </c>
      <c r="O19" s="30"/>
      <c r="P19" s="30"/>
      <c r="Q19" s="53"/>
      <c r="R19" s="53"/>
      <c r="S19" s="53"/>
      <c r="T19" s="53"/>
      <c r="U19" s="53"/>
      <c r="V19" s="53"/>
      <c r="W19" s="53"/>
      <c r="X19" s="30"/>
      <c r="Y19" s="30"/>
    </row>
    <row r="20" spans="4:25" x14ac:dyDescent="0.3">
      <c r="D20" s="38">
        <v>45301</v>
      </c>
      <c r="E20" s="19" t="s">
        <v>9</v>
      </c>
      <c r="F20" s="19" t="s">
        <v>96</v>
      </c>
      <c r="G20" s="19" t="s">
        <v>21</v>
      </c>
      <c r="H20" s="19">
        <v>2021</v>
      </c>
      <c r="I20" s="19" t="s">
        <v>12</v>
      </c>
      <c r="J20" s="19" t="s">
        <v>13</v>
      </c>
      <c r="K20" s="19" t="s">
        <v>23</v>
      </c>
      <c r="L20" s="20">
        <v>70000</v>
      </c>
      <c r="O20" s="30"/>
      <c r="P20" s="30"/>
      <c r="Q20" s="53"/>
      <c r="R20" s="53"/>
      <c r="S20" s="53"/>
      <c r="T20" s="53"/>
      <c r="U20" s="53"/>
      <c r="V20" s="53"/>
      <c r="W20" s="53"/>
      <c r="X20" s="30"/>
      <c r="Y20" s="30"/>
    </row>
    <row r="21" spans="4:25" x14ac:dyDescent="0.3">
      <c r="D21" s="37">
        <v>45585</v>
      </c>
      <c r="E21" s="19" t="s">
        <v>97</v>
      </c>
      <c r="F21" s="19" t="s">
        <v>98</v>
      </c>
      <c r="G21" s="19" t="s">
        <v>17</v>
      </c>
      <c r="H21" s="19">
        <v>2017</v>
      </c>
      <c r="I21" s="19" t="s">
        <v>22</v>
      </c>
      <c r="J21" s="19" t="s">
        <v>86</v>
      </c>
      <c r="K21" s="19" t="s">
        <v>92</v>
      </c>
      <c r="L21" s="20">
        <v>75000</v>
      </c>
      <c r="O21" s="30"/>
      <c r="P21" s="30"/>
      <c r="Q21" s="53"/>
      <c r="R21" s="53"/>
      <c r="S21" s="53"/>
      <c r="T21" s="53"/>
      <c r="U21" s="53"/>
      <c r="V21" s="53"/>
      <c r="W21" s="53"/>
      <c r="X21" s="30"/>
      <c r="Y21" s="30"/>
    </row>
    <row r="22" spans="4:25" x14ac:dyDescent="0.3">
      <c r="D22" s="38">
        <v>45657</v>
      </c>
      <c r="E22" s="19" t="s">
        <v>88</v>
      </c>
      <c r="F22" s="19" t="s">
        <v>99</v>
      </c>
      <c r="G22" s="19" t="s">
        <v>28</v>
      </c>
      <c r="H22" s="19">
        <v>2020</v>
      </c>
      <c r="I22" s="19" t="s">
        <v>12</v>
      </c>
      <c r="J22" s="19" t="s">
        <v>13</v>
      </c>
      <c r="K22" s="19" t="s">
        <v>23</v>
      </c>
      <c r="L22" s="20">
        <v>65000</v>
      </c>
      <c r="O22" s="30"/>
      <c r="P22" s="30"/>
      <c r="Q22" s="53"/>
      <c r="R22" s="53"/>
      <c r="S22" s="53"/>
      <c r="T22" s="53"/>
      <c r="U22" s="53"/>
      <c r="V22" s="53"/>
      <c r="W22" s="53"/>
      <c r="X22" s="30"/>
      <c r="Y22" s="30"/>
    </row>
    <row r="23" spans="4:25" x14ac:dyDescent="0.3">
      <c r="D23" s="40">
        <v>45479</v>
      </c>
      <c r="E23" s="19" t="s">
        <v>71</v>
      </c>
      <c r="F23" s="19" t="s">
        <v>101</v>
      </c>
      <c r="G23" s="19" t="s">
        <v>11</v>
      </c>
      <c r="H23" s="19">
        <v>2016</v>
      </c>
      <c r="I23" s="19" t="s">
        <v>22</v>
      </c>
      <c r="J23" s="19" t="s">
        <v>13</v>
      </c>
      <c r="K23" s="19" t="s">
        <v>92</v>
      </c>
      <c r="L23" s="20">
        <v>60000</v>
      </c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4:25" x14ac:dyDescent="0.3">
      <c r="D24" s="42">
        <v>45514</v>
      </c>
      <c r="E24" s="19" t="s">
        <v>80</v>
      </c>
      <c r="F24" s="19" t="s">
        <v>81</v>
      </c>
      <c r="G24" s="19" t="s">
        <v>26</v>
      </c>
      <c r="H24" s="19">
        <v>2019</v>
      </c>
      <c r="I24" s="19" t="s">
        <v>12</v>
      </c>
      <c r="J24" s="19" t="s">
        <v>18</v>
      </c>
      <c r="K24" s="19" t="s">
        <v>23</v>
      </c>
      <c r="L24" s="20">
        <v>55000</v>
      </c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4:25" x14ac:dyDescent="0.3">
      <c r="D25" s="42">
        <v>45396</v>
      </c>
      <c r="E25" s="19" t="s">
        <v>102</v>
      </c>
      <c r="F25" s="19" t="s">
        <v>103</v>
      </c>
      <c r="G25" s="19" t="s">
        <v>95</v>
      </c>
      <c r="H25" s="19">
        <v>2021</v>
      </c>
      <c r="I25" s="19" t="s">
        <v>22</v>
      </c>
      <c r="J25" s="19" t="s">
        <v>86</v>
      </c>
      <c r="K25" s="19" t="s">
        <v>92</v>
      </c>
      <c r="L25" s="20">
        <v>130000</v>
      </c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4:25" x14ac:dyDescent="0.3">
      <c r="D26" s="42">
        <v>45423</v>
      </c>
      <c r="E26" s="19" t="s">
        <v>24</v>
      </c>
      <c r="F26" s="19" t="s">
        <v>104</v>
      </c>
      <c r="G26" s="19" t="s">
        <v>21</v>
      </c>
      <c r="H26" s="19">
        <v>2018</v>
      </c>
      <c r="I26" s="19" t="s">
        <v>12</v>
      </c>
      <c r="J26" s="19" t="s">
        <v>13</v>
      </c>
      <c r="K26" s="19" t="s">
        <v>23</v>
      </c>
      <c r="L26" s="20">
        <v>50000</v>
      </c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4:25" x14ac:dyDescent="0.3">
      <c r="D27" s="42">
        <v>45371</v>
      </c>
      <c r="E27" s="19" t="s">
        <v>29</v>
      </c>
      <c r="F27" s="19" t="s">
        <v>30</v>
      </c>
      <c r="G27" s="19" t="s">
        <v>28</v>
      </c>
      <c r="H27" s="19">
        <v>2020</v>
      </c>
      <c r="I27" s="19" t="s">
        <v>22</v>
      </c>
      <c r="J27" s="19" t="s">
        <v>86</v>
      </c>
      <c r="K27" s="19" t="s">
        <v>92</v>
      </c>
      <c r="L27" s="20">
        <v>95000</v>
      </c>
    </row>
    <row r="28" spans="4:25" x14ac:dyDescent="0.3">
      <c r="D28" s="42">
        <v>45342</v>
      </c>
      <c r="E28" s="19" t="s">
        <v>15</v>
      </c>
      <c r="F28" s="19" t="s">
        <v>16</v>
      </c>
      <c r="G28" s="19" t="s">
        <v>26</v>
      </c>
      <c r="H28" s="19">
        <v>2018</v>
      </c>
      <c r="I28" s="19" t="s">
        <v>12</v>
      </c>
      <c r="J28" s="19" t="s">
        <v>13</v>
      </c>
      <c r="K28" s="19" t="s">
        <v>23</v>
      </c>
      <c r="L28" s="20">
        <v>80000</v>
      </c>
    </row>
    <row r="29" spans="4:25" x14ac:dyDescent="0.3">
      <c r="D29" s="42">
        <v>45445</v>
      </c>
      <c r="E29" s="19" t="s">
        <v>93</v>
      </c>
      <c r="F29" s="19" t="s">
        <v>94</v>
      </c>
      <c r="G29" s="19" t="s">
        <v>95</v>
      </c>
      <c r="H29" s="19">
        <v>2019</v>
      </c>
      <c r="I29" s="19" t="s">
        <v>22</v>
      </c>
      <c r="J29" s="19" t="s">
        <v>18</v>
      </c>
      <c r="K29" s="19" t="s">
        <v>92</v>
      </c>
      <c r="L29" s="20">
        <v>85000</v>
      </c>
    </row>
    <row r="30" spans="4:25" x14ac:dyDescent="0.3">
      <c r="D30" s="42">
        <v>45554</v>
      </c>
      <c r="E30" s="19" t="s">
        <v>9</v>
      </c>
      <c r="F30" s="19" t="s">
        <v>96</v>
      </c>
      <c r="G30" s="19" t="s">
        <v>21</v>
      </c>
      <c r="H30" s="19">
        <v>2021</v>
      </c>
      <c r="I30" s="19" t="s">
        <v>12</v>
      </c>
      <c r="J30" s="19" t="s">
        <v>13</v>
      </c>
      <c r="K30" s="19" t="s">
        <v>23</v>
      </c>
      <c r="L30" s="20">
        <v>70000</v>
      </c>
    </row>
    <row r="31" spans="4:25" x14ac:dyDescent="0.3">
      <c r="D31" s="42">
        <v>45607</v>
      </c>
      <c r="E31" s="19" t="s">
        <v>97</v>
      </c>
      <c r="F31" s="19" t="s">
        <v>98</v>
      </c>
      <c r="G31" s="19" t="s">
        <v>17</v>
      </c>
      <c r="H31" s="19">
        <v>2017</v>
      </c>
      <c r="I31" s="19" t="s">
        <v>22</v>
      </c>
      <c r="J31" s="19" t="s">
        <v>86</v>
      </c>
      <c r="K31" s="19" t="s">
        <v>92</v>
      </c>
      <c r="L31" s="20">
        <v>75000</v>
      </c>
    </row>
    <row r="32" spans="4:25" x14ac:dyDescent="0.3">
      <c r="D32" s="42">
        <v>45421</v>
      </c>
      <c r="E32" s="19" t="s">
        <v>88</v>
      </c>
      <c r="F32" s="19" t="s">
        <v>99</v>
      </c>
      <c r="G32" s="19" t="s">
        <v>28</v>
      </c>
      <c r="H32" s="19">
        <v>2020</v>
      </c>
      <c r="I32" s="19" t="s">
        <v>12</v>
      </c>
      <c r="J32" s="19" t="s">
        <v>86</v>
      </c>
      <c r="K32" s="19" t="s">
        <v>92</v>
      </c>
      <c r="L32" s="20">
        <v>60000</v>
      </c>
    </row>
    <row r="33" spans="4:12" x14ac:dyDescent="0.3">
      <c r="D33" s="38">
        <v>45301</v>
      </c>
      <c r="E33" s="19" t="s">
        <v>71</v>
      </c>
      <c r="F33" s="19" t="s">
        <v>101</v>
      </c>
      <c r="G33" s="19" t="s">
        <v>11</v>
      </c>
      <c r="H33" s="19">
        <v>2016</v>
      </c>
      <c r="I33" s="19" t="s">
        <v>22</v>
      </c>
      <c r="J33" s="19" t="s">
        <v>13</v>
      </c>
      <c r="K33" s="19" t="s">
        <v>23</v>
      </c>
      <c r="L33" s="20">
        <v>65000</v>
      </c>
    </row>
    <row r="34" spans="4:12" x14ac:dyDescent="0.3">
      <c r="D34" s="37">
        <v>45585</v>
      </c>
      <c r="E34" s="19" t="s">
        <v>80</v>
      </c>
      <c r="F34" s="19" t="s">
        <v>81</v>
      </c>
      <c r="G34" s="19" t="s">
        <v>26</v>
      </c>
      <c r="H34" s="19">
        <v>2019</v>
      </c>
      <c r="I34" s="19" t="s">
        <v>12</v>
      </c>
      <c r="J34" s="19" t="s">
        <v>18</v>
      </c>
      <c r="K34" s="19" t="s">
        <v>92</v>
      </c>
      <c r="L34" s="20">
        <v>50000</v>
      </c>
    </row>
    <row r="35" spans="4:12" x14ac:dyDescent="0.3">
      <c r="D35" s="38">
        <v>45657</v>
      </c>
      <c r="E35" s="19" t="s">
        <v>102</v>
      </c>
      <c r="F35" s="19" t="s">
        <v>103</v>
      </c>
      <c r="G35" s="19" t="s">
        <v>95</v>
      </c>
      <c r="H35" s="19">
        <v>2021</v>
      </c>
      <c r="I35" s="19" t="s">
        <v>22</v>
      </c>
      <c r="J35" s="19" t="s">
        <v>86</v>
      </c>
      <c r="K35" s="19" t="s">
        <v>23</v>
      </c>
      <c r="L35" s="20">
        <v>135000</v>
      </c>
    </row>
    <row r="36" spans="4:12" x14ac:dyDescent="0.3">
      <c r="D36" s="40">
        <v>45479</v>
      </c>
      <c r="E36" s="19" t="s">
        <v>24</v>
      </c>
      <c r="F36" s="19" t="s">
        <v>104</v>
      </c>
      <c r="G36" s="19" t="s">
        <v>21</v>
      </c>
      <c r="H36" s="19">
        <v>2018</v>
      </c>
      <c r="I36" s="19" t="s">
        <v>12</v>
      </c>
      <c r="J36" s="19" t="s">
        <v>13</v>
      </c>
      <c r="K36" s="19" t="s">
        <v>92</v>
      </c>
      <c r="L36" s="20">
        <v>45000</v>
      </c>
    </row>
    <row r="37" spans="4:12" x14ac:dyDescent="0.3">
      <c r="D37" s="42">
        <v>45514</v>
      </c>
      <c r="E37" s="19" t="s">
        <v>105</v>
      </c>
      <c r="F37" s="19">
        <v>208</v>
      </c>
      <c r="G37" s="19" t="s">
        <v>17</v>
      </c>
      <c r="H37" s="19">
        <v>2019</v>
      </c>
      <c r="I37" s="19" t="s">
        <v>22</v>
      </c>
      <c r="J37" s="19" t="s">
        <v>86</v>
      </c>
      <c r="K37" s="19" t="s">
        <v>23</v>
      </c>
      <c r="L37" s="20">
        <v>55000</v>
      </c>
    </row>
    <row r="38" spans="4:12" x14ac:dyDescent="0.3">
      <c r="D38" s="42">
        <v>45396</v>
      </c>
      <c r="E38" s="19" t="s">
        <v>106</v>
      </c>
      <c r="F38" s="19" t="s">
        <v>107</v>
      </c>
      <c r="G38" s="19" t="s">
        <v>26</v>
      </c>
      <c r="H38" s="19">
        <v>2021</v>
      </c>
      <c r="I38" s="19" t="s">
        <v>12</v>
      </c>
      <c r="J38" s="19" t="s">
        <v>13</v>
      </c>
      <c r="K38" s="19" t="s">
        <v>92</v>
      </c>
      <c r="L38" s="20">
        <v>75000</v>
      </c>
    </row>
    <row r="39" spans="4:12" x14ac:dyDescent="0.3">
      <c r="D39" s="42">
        <v>45423</v>
      </c>
      <c r="E39" s="19" t="s">
        <v>108</v>
      </c>
      <c r="F39" s="19" t="s">
        <v>109</v>
      </c>
      <c r="G39" s="19" t="s">
        <v>28</v>
      </c>
      <c r="H39" s="19">
        <v>2018</v>
      </c>
      <c r="I39" s="19" t="s">
        <v>22</v>
      </c>
      <c r="J39" s="19" t="s">
        <v>13</v>
      </c>
      <c r="K39" s="19" t="s">
        <v>23</v>
      </c>
      <c r="L39" s="20">
        <v>120000</v>
      </c>
    </row>
    <row r="40" spans="4:12" x14ac:dyDescent="0.3">
      <c r="D40" s="42">
        <v>45371</v>
      </c>
      <c r="E40" s="19" t="s">
        <v>110</v>
      </c>
      <c r="F40" s="19" t="s">
        <v>111</v>
      </c>
      <c r="G40" s="19" t="s">
        <v>95</v>
      </c>
      <c r="H40" s="19">
        <v>2020</v>
      </c>
      <c r="I40" s="19" t="s">
        <v>22</v>
      </c>
      <c r="J40" s="19" t="s">
        <v>86</v>
      </c>
      <c r="K40" s="19" t="s">
        <v>92</v>
      </c>
      <c r="L40" s="20">
        <v>150000</v>
      </c>
    </row>
    <row r="41" spans="4:12" x14ac:dyDescent="0.3">
      <c r="D41" s="42">
        <v>45342</v>
      </c>
      <c r="E41" s="19" t="s">
        <v>112</v>
      </c>
      <c r="F41" s="19" t="s">
        <v>113</v>
      </c>
      <c r="G41" s="19" t="s">
        <v>21</v>
      </c>
      <c r="H41" s="19">
        <v>2017</v>
      </c>
      <c r="I41" s="19" t="s">
        <v>12</v>
      </c>
      <c r="J41" s="19" t="s">
        <v>13</v>
      </c>
      <c r="K41" s="19" t="s">
        <v>23</v>
      </c>
      <c r="L41" s="20">
        <v>140000</v>
      </c>
    </row>
    <row r="42" spans="4:12" x14ac:dyDescent="0.3">
      <c r="D42" s="42">
        <v>45445</v>
      </c>
      <c r="E42" s="19" t="s">
        <v>114</v>
      </c>
      <c r="F42" s="19" t="s">
        <v>115</v>
      </c>
      <c r="G42" s="19" t="s">
        <v>28</v>
      </c>
      <c r="H42" s="19">
        <v>2019</v>
      </c>
      <c r="I42" s="19" t="s">
        <v>22</v>
      </c>
      <c r="J42" s="19" t="s">
        <v>86</v>
      </c>
      <c r="K42" s="19" t="s">
        <v>92</v>
      </c>
      <c r="L42" s="20">
        <v>200000</v>
      </c>
    </row>
    <row r="43" spans="4:12" x14ac:dyDescent="0.3">
      <c r="D43" s="42">
        <v>45554</v>
      </c>
      <c r="E43" s="19" t="s">
        <v>93</v>
      </c>
      <c r="F43" s="19" t="s">
        <v>116</v>
      </c>
      <c r="G43" s="19" t="s">
        <v>26</v>
      </c>
      <c r="H43" s="19">
        <v>2020</v>
      </c>
      <c r="I43" s="19" t="s">
        <v>12</v>
      </c>
      <c r="J43" s="19" t="s">
        <v>18</v>
      </c>
      <c r="K43" s="19" t="s">
        <v>23</v>
      </c>
      <c r="L43" s="20">
        <v>75000</v>
      </c>
    </row>
    <row r="44" spans="4:12" x14ac:dyDescent="0.3">
      <c r="D44" s="42">
        <v>45607</v>
      </c>
      <c r="E44" s="19" t="s">
        <v>117</v>
      </c>
      <c r="F44" s="19" t="s">
        <v>118</v>
      </c>
      <c r="G44" s="19" t="s">
        <v>11</v>
      </c>
      <c r="H44" s="19">
        <v>2016</v>
      </c>
      <c r="I44" s="19" t="s">
        <v>22</v>
      </c>
      <c r="J44" s="19" t="s">
        <v>13</v>
      </c>
      <c r="K44" s="19" t="s">
        <v>92</v>
      </c>
      <c r="L44" s="20">
        <v>95000</v>
      </c>
    </row>
    <row r="45" spans="4:12" x14ac:dyDescent="0.3">
      <c r="D45" s="42">
        <v>45421</v>
      </c>
      <c r="E45" s="19" t="s">
        <v>119</v>
      </c>
      <c r="F45" s="19" t="s">
        <v>120</v>
      </c>
      <c r="G45" s="19" t="s">
        <v>95</v>
      </c>
      <c r="H45" s="19">
        <v>2018</v>
      </c>
      <c r="I45" s="19" t="s">
        <v>22</v>
      </c>
      <c r="J45" s="19" t="s">
        <v>86</v>
      </c>
      <c r="K45" s="19" t="s">
        <v>23</v>
      </c>
      <c r="L45" s="20">
        <v>250000</v>
      </c>
    </row>
    <row r="46" spans="4:12" x14ac:dyDescent="0.3">
      <c r="D46" s="38">
        <v>45301</v>
      </c>
      <c r="E46" s="19" t="s">
        <v>19</v>
      </c>
      <c r="F46" s="19" t="s">
        <v>121</v>
      </c>
      <c r="G46" s="19" t="s">
        <v>21</v>
      </c>
      <c r="H46" s="19">
        <v>2021</v>
      </c>
      <c r="I46" s="19" t="s">
        <v>12</v>
      </c>
      <c r="J46" s="19" t="s">
        <v>13</v>
      </c>
      <c r="K46" s="19" t="s">
        <v>92</v>
      </c>
      <c r="L46" s="20">
        <v>200000</v>
      </c>
    </row>
    <row r="47" spans="4:12" x14ac:dyDescent="0.3">
      <c r="D47" s="37">
        <v>45585</v>
      </c>
      <c r="E47" s="19" t="s">
        <v>71</v>
      </c>
      <c r="F47" s="19" t="s">
        <v>122</v>
      </c>
      <c r="G47" s="19" t="s">
        <v>17</v>
      </c>
      <c r="H47" s="19">
        <v>2019</v>
      </c>
      <c r="I47" s="19" t="s">
        <v>22</v>
      </c>
      <c r="J47" s="19" t="s">
        <v>86</v>
      </c>
      <c r="K47" s="19" t="s">
        <v>23</v>
      </c>
      <c r="L47" s="20">
        <v>90000</v>
      </c>
    </row>
    <row r="48" spans="4:12" x14ac:dyDescent="0.3">
      <c r="D48" s="38">
        <v>45657</v>
      </c>
      <c r="E48" s="19" t="s">
        <v>88</v>
      </c>
      <c r="F48" s="19" t="s">
        <v>123</v>
      </c>
      <c r="G48" s="19" t="s">
        <v>26</v>
      </c>
      <c r="H48" s="19">
        <v>2021</v>
      </c>
      <c r="I48" s="19" t="s">
        <v>12</v>
      </c>
      <c r="J48" s="19" t="s">
        <v>13</v>
      </c>
      <c r="K48" s="19" t="s">
        <v>92</v>
      </c>
      <c r="L48" s="20">
        <v>120000</v>
      </c>
    </row>
    <row r="49" spans="4:12" x14ac:dyDescent="0.3">
      <c r="D49" s="40">
        <v>45479</v>
      </c>
      <c r="E49" s="19" t="s">
        <v>9</v>
      </c>
      <c r="F49" s="19" t="s">
        <v>124</v>
      </c>
      <c r="G49" s="19" t="s">
        <v>28</v>
      </c>
      <c r="H49" s="19">
        <v>2020</v>
      </c>
      <c r="I49" s="19" t="s">
        <v>22</v>
      </c>
      <c r="J49" s="19" t="s">
        <v>86</v>
      </c>
      <c r="K49" s="19" t="s">
        <v>23</v>
      </c>
      <c r="L49" s="20">
        <v>150000</v>
      </c>
    </row>
    <row r="50" spans="4:12" x14ac:dyDescent="0.3">
      <c r="D50" s="42">
        <v>45514</v>
      </c>
      <c r="E50" s="19" t="s">
        <v>29</v>
      </c>
      <c r="F50" s="19" t="s">
        <v>125</v>
      </c>
      <c r="G50" s="19" t="s">
        <v>95</v>
      </c>
      <c r="H50" s="19">
        <v>2018</v>
      </c>
      <c r="I50" s="19" t="s">
        <v>22</v>
      </c>
      <c r="J50" s="19" t="s">
        <v>86</v>
      </c>
      <c r="K50" s="19" t="s">
        <v>92</v>
      </c>
      <c r="L50" s="20">
        <v>140000</v>
      </c>
    </row>
    <row r="51" spans="4:12" x14ac:dyDescent="0.3">
      <c r="D51" s="42">
        <v>45396</v>
      </c>
      <c r="E51" s="19" t="s">
        <v>97</v>
      </c>
      <c r="F51" s="19" t="s">
        <v>126</v>
      </c>
      <c r="G51" s="19" t="s">
        <v>21</v>
      </c>
      <c r="H51" s="19">
        <v>2017</v>
      </c>
      <c r="I51" s="19" t="s">
        <v>12</v>
      </c>
      <c r="J51" s="19" t="s">
        <v>13</v>
      </c>
      <c r="K51" s="19" t="s">
        <v>23</v>
      </c>
      <c r="L51" s="20">
        <v>125000</v>
      </c>
    </row>
    <row r="52" spans="4:12" x14ac:dyDescent="0.3">
      <c r="D52" s="42">
        <v>45423</v>
      </c>
      <c r="E52" s="19" t="s">
        <v>102</v>
      </c>
      <c r="F52" s="19" t="s">
        <v>127</v>
      </c>
      <c r="G52" s="19" t="s">
        <v>28</v>
      </c>
      <c r="H52" s="19">
        <v>2019</v>
      </c>
      <c r="I52" s="19" t="s">
        <v>22</v>
      </c>
      <c r="J52" s="19" t="s">
        <v>86</v>
      </c>
      <c r="K52" s="19" t="s">
        <v>92</v>
      </c>
      <c r="L52" s="20">
        <v>110000</v>
      </c>
    </row>
    <row r="53" spans="4:12" x14ac:dyDescent="0.3">
      <c r="D53" s="42">
        <v>45371</v>
      </c>
      <c r="E53" s="19" t="s">
        <v>80</v>
      </c>
      <c r="F53" s="19" t="s">
        <v>128</v>
      </c>
      <c r="G53" s="19" t="s">
        <v>26</v>
      </c>
      <c r="H53" s="19">
        <v>2020</v>
      </c>
      <c r="I53" s="19" t="s">
        <v>12</v>
      </c>
      <c r="J53" s="19" t="s">
        <v>18</v>
      </c>
      <c r="K53" s="19" t="s">
        <v>23</v>
      </c>
      <c r="L53" s="20">
        <v>80000</v>
      </c>
    </row>
    <row r="54" spans="4:12" x14ac:dyDescent="0.3">
      <c r="D54" s="42">
        <v>45342</v>
      </c>
      <c r="E54" s="19" t="s">
        <v>15</v>
      </c>
      <c r="F54" s="19" t="s">
        <v>129</v>
      </c>
      <c r="G54" s="19" t="s">
        <v>11</v>
      </c>
      <c r="H54" s="19">
        <v>2016</v>
      </c>
      <c r="I54" s="19" t="s">
        <v>22</v>
      </c>
      <c r="J54" s="19" t="s">
        <v>13</v>
      </c>
      <c r="K54" s="19" t="s">
        <v>92</v>
      </c>
      <c r="L54" s="20">
        <v>95000</v>
      </c>
    </row>
    <row r="55" spans="4:12" x14ac:dyDescent="0.3">
      <c r="D55" s="42">
        <v>45445</v>
      </c>
      <c r="E55" s="19" t="s">
        <v>24</v>
      </c>
      <c r="F55" s="19" t="s">
        <v>130</v>
      </c>
      <c r="G55" s="19" t="s">
        <v>95</v>
      </c>
      <c r="H55" s="19">
        <v>2018</v>
      </c>
      <c r="I55" s="19" t="s">
        <v>22</v>
      </c>
      <c r="J55" s="19" t="s">
        <v>86</v>
      </c>
      <c r="K55" s="19" t="s">
        <v>23</v>
      </c>
      <c r="L55" s="20">
        <v>110000</v>
      </c>
    </row>
    <row r="56" spans="4:12" x14ac:dyDescent="0.3">
      <c r="D56" s="42">
        <v>45554</v>
      </c>
      <c r="E56" s="19" t="s">
        <v>105</v>
      </c>
      <c r="F56" s="19">
        <v>3008</v>
      </c>
      <c r="G56" s="19" t="s">
        <v>21</v>
      </c>
      <c r="H56" s="19">
        <v>2021</v>
      </c>
      <c r="I56" s="19" t="s">
        <v>12</v>
      </c>
      <c r="J56" s="19" t="s">
        <v>13</v>
      </c>
      <c r="K56" s="19" t="s">
        <v>92</v>
      </c>
      <c r="L56" s="20">
        <v>130000</v>
      </c>
    </row>
    <row r="57" spans="4:12" x14ac:dyDescent="0.3">
      <c r="D57" s="42">
        <v>45607</v>
      </c>
      <c r="E57" s="19" t="s">
        <v>105</v>
      </c>
      <c r="F57" s="19">
        <v>208</v>
      </c>
      <c r="G57" s="19" t="s">
        <v>17</v>
      </c>
      <c r="H57" s="19">
        <v>2019</v>
      </c>
      <c r="I57" s="19" t="s">
        <v>22</v>
      </c>
      <c r="J57" s="19" t="s">
        <v>86</v>
      </c>
      <c r="K57" s="19" t="s">
        <v>92</v>
      </c>
      <c r="L57" s="20">
        <v>55000</v>
      </c>
    </row>
    <row r="58" spans="4:12" x14ac:dyDescent="0.3">
      <c r="D58" s="42">
        <v>45421</v>
      </c>
      <c r="E58" s="19" t="s">
        <v>106</v>
      </c>
      <c r="F58" s="19" t="s">
        <v>107</v>
      </c>
      <c r="G58" s="19" t="s">
        <v>26</v>
      </c>
      <c r="H58" s="19">
        <v>2021</v>
      </c>
      <c r="I58" s="19" t="s">
        <v>12</v>
      </c>
      <c r="J58" s="19" t="s">
        <v>13</v>
      </c>
      <c r="K58" s="19" t="s">
        <v>23</v>
      </c>
      <c r="L58" s="20">
        <v>75000</v>
      </c>
    </row>
    <row r="59" spans="4:12" x14ac:dyDescent="0.3">
      <c r="D59" s="38">
        <v>45301</v>
      </c>
      <c r="E59" s="19" t="s">
        <v>108</v>
      </c>
      <c r="F59" s="19" t="s">
        <v>109</v>
      </c>
      <c r="G59" s="19" t="s">
        <v>28</v>
      </c>
      <c r="H59" s="19">
        <v>2018</v>
      </c>
      <c r="I59" s="19" t="s">
        <v>22</v>
      </c>
      <c r="J59" s="19" t="s">
        <v>13</v>
      </c>
      <c r="K59" s="19" t="s">
        <v>92</v>
      </c>
      <c r="L59" s="20">
        <v>115000</v>
      </c>
    </row>
    <row r="60" spans="4:12" x14ac:dyDescent="0.3">
      <c r="D60" s="37">
        <v>45585</v>
      </c>
      <c r="E60" s="19" t="s">
        <v>110</v>
      </c>
      <c r="F60" s="19" t="s">
        <v>111</v>
      </c>
      <c r="G60" s="19" t="s">
        <v>95</v>
      </c>
      <c r="H60" s="19">
        <v>2020</v>
      </c>
      <c r="I60" s="19" t="s">
        <v>22</v>
      </c>
      <c r="J60" s="19" t="s">
        <v>86</v>
      </c>
      <c r="K60" s="19" t="s">
        <v>23</v>
      </c>
      <c r="L60" s="20">
        <v>145000</v>
      </c>
    </row>
    <row r="61" spans="4:12" x14ac:dyDescent="0.3">
      <c r="D61" s="38">
        <v>45657</v>
      </c>
      <c r="E61" s="19" t="s">
        <v>112</v>
      </c>
      <c r="F61" s="19" t="s">
        <v>113</v>
      </c>
      <c r="G61" s="19" t="s">
        <v>21</v>
      </c>
      <c r="H61" s="19">
        <v>2017</v>
      </c>
      <c r="I61" s="19" t="s">
        <v>12</v>
      </c>
      <c r="J61" s="19" t="s">
        <v>13</v>
      </c>
      <c r="K61" s="19" t="s">
        <v>92</v>
      </c>
      <c r="L61" s="20">
        <v>135000</v>
      </c>
    </row>
    <row r="62" spans="4:12" x14ac:dyDescent="0.3">
      <c r="D62" s="40">
        <v>45479</v>
      </c>
      <c r="E62" s="19" t="s">
        <v>114</v>
      </c>
      <c r="F62" s="19" t="s">
        <v>115</v>
      </c>
      <c r="G62" s="19" t="s">
        <v>28</v>
      </c>
      <c r="H62" s="19">
        <v>2019</v>
      </c>
      <c r="I62" s="19" t="s">
        <v>22</v>
      </c>
      <c r="J62" s="19" t="s">
        <v>86</v>
      </c>
      <c r="K62" s="19" t="s">
        <v>23</v>
      </c>
      <c r="L62" s="20">
        <v>190000</v>
      </c>
    </row>
    <row r="63" spans="4:12" x14ac:dyDescent="0.3">
      <c r="D63" s="42">
        <v>45514</v>
      </c>
      <c r="E63" s="19" t="s">
        <v>93</v>
      </c>
      <c r="F63" s="19" t="s">
        <v>116</v>
      </c>
      <c r="G63" s="19" t="s">
        <v>26</v>
      </c>
      <c r="H63" s="19">
        <v>2020</v>
      </c>
      <c r="I63" s="19" t="s">
        <v>12</v>
      </c>
      <c r="J63" s="19" t="s">
        <v>18</v>
      </c>
      <c r="K63" s="19" t="s">
        <v>92</v>
      </c>
      <c r="L63" s="20">
        <v>70000</v>
      </c>
    </row>
    <row r="64" spans="4:12" x14ac:dyDescent="0.3">
      <c r="D64" s="42">
        <v>45396</v>
      </c>
      <c r="E64" s="19" t="s">
        <v>117</v>
      </c>
      <c r="F64" s="19" t="s">
        <v>118</v>
      </c>
      <c r="G64" s="19" t="s">
        <v>11</v>
      </c>
      <c r="H64" s="19">
        <v>2016</v>
      </c>
      <c r="I64" s="19" t="s">
        <v>22</v>
      </c>
      <c r="J64" s="19" t="s">
        <v>13</v>
      </c>
      <c r="K64" s="19" t="s">
        <v>23</v>
      </c>
      <c r="L64" s="20">
        <v>100000</v>
      </c>
    </row>
    <row r="65" spans="4:12" x14ac:dyDescent="0.3">
      <c r="D65" s="42">
        <v>45423</v>
      </c>
      <c r="E65" s="19" t="s">
        <v>119</v>
      </c>
      <c r="F65" s="19" t="s">
        <v>120</v>
      </c>
      <c r="G65" s="19" t="s">
        <v>95</v>
      </c>
      <c r="H65" s="19">
        <v>2018</v>
      </c>
      <c r="I65" s="19" t="s">
        <v>22</v>
      </c>
      <c r="J65" s="19" t="s">
        <v>86</v>
      </c>
      <c r="K65" s="19" t="s">
        <v>92</v>
      </c>
      <c r="L65" s="20">
        <v>240000</v>
      </c>
    </row>
    <row r="66" spans="4:12" x14ac:dyDescent="0.3">
      <c r="D66" s="42">
        <v>45371</v>
      </c>
      <c r="E66" s="19" t="s">
        <v>19</v>
      </c>
      <c r="F66" s="19" t="s">
        <v>121</v>
      </c>
      <c r="G66" s="19" t="s">
        <v>21</v>
      </c>
      <c r="H66" s="19">
        <v>2021</v>
      </c>
      <c r="I66" s="19" t="s">
        <v>12</v>
      </c>
      <c r="J66" s="19" t="s">
        <v>13</v>
      </c>
      <c r="K66" s="19" t="s">
        <v>23</v>
      </c>
      <c r="L66" s="20">
        <v>195000</v>
      </c>
    </row>
    <row r="67" spans="4:12" x14ac:dyDescent="0.3">
      <c r="D67" s="42">
        <v>45372</v>
      </c>
      <c r="E67" s="19" t="s">
        <v>80</v>
      </c>
      <c r="F67" s="19" t="s">
        <v>81</v>
      </c>
      <c r="G67" s="19" t="s">
        <v>11</v>
      </c>
      <c r="H67" s="19">
        <v>2014</v>
      </c>
      <c r="I67" s="19" t="s">
        <v>12</v>
      </c>
      <c r="J67" s="19" t="s">
        <v>13</v>
      </c>
      <c r="K67" s="19" t="s">
        <v>92</v>
      </c>
      <c r="L67" s="20">
        <v>15000</v>
      </c>
    </row>
  </sheetData>
  <mergeCells count="2">
    <mergeCell ref="R8:V9"/>
    <mergeCell ref="Q11:W2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1E8F-37DC-4492-9506-5087665A78A1}">
  <sheetPr codeName="Planilha9"/>
  <dimension ref="A1:AI39"/>
  <sheetViews>
    <sheetView showGridLines="0" showRowColHeaders="0" tabSelected="1" zoomScale="85" zoomScaleNormal="85" workbookViewId="0">
      <selection activeCell="T18" sqref="T18"/>
    </sheetView>
  </sheetViews>
  <sheetFormatPr defaultRowHeight="14.4" x14ac:dyDescent="0.3"/>
  <sheetData>
    <row r="1" spans="1:35" ht="68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8.2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</row>
    <row r="4" spans="1:35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</row>
    <row r="5" spans="1:35" x14ac:dyDescent="0.3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</row>
    <row r="6" spans="1:35" x14ac:dyDescent="0.3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</row>
    <row r="7" spans="1:35" x14ac:dyDescent="0.3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</row>
    <row r="8" spans="1:35" x14ac:dyDescent="0.3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</row>
    <row r="9" spans="1:35" x14ac:dyDescent="0.3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</row>
    <row r="10" spans="1:35" x14ac:dyDescent="0.3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</row>
    <row r="11" spans="1:35" x14ac:dyDescent="0.3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</row>
    <row r="12" spans="1:35" x14ac:dyDescent="0.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</row>
    <row r="13" spans="1:35" x14ac:dyDescent="0.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</row>
    <row r="14" spans="1:35" x14ac:dyDescent="0.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</row>
    <row r="15" spans="1:35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</row>
    <row r="16" spans="1:35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</row>
    <row r="17" spans="1:35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</row>
    <row r="18" spans="1:35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</row>
    <row r="19" spans="1:35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</row>
    <row r="20" spans="1:35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</row>
    <row r="21" spans="1:35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</row>
    <row r="22" spans="1:35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</row>
    <row r="23" spans="1:35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</row>
    <row r="24" spans="1:35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</row>
    <row r="25" spans="1:35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</row>
    <row r="26" spans="1:35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</row>
    <row r="27" spans="1:35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</row>
    <row r="28" spans="1:35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</row>
    <row r="29" spans="1:35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</row>
    <row r="30" spans="1:35" x14ac:dyDescent="0.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</row>
    <row r="31" spans="1:35" x14ac:dyDescent="0.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</row>
    <row r="32" spans="1:35" x14ac:dyDescent="0.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</row>
    <row r="33" spans="1:35" x14ac:dyDescent="0.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</row>
    <row r="34" spans="1:35" x14ac:dyDescent="0.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</row>
    <row r="35" spans="1:35" x14ac:dyDescent="0.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</row>
    <row r="36" spans="1:35" x14ac:dyDescent="0.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</row>
    <row r="37" spans="1:35" x14ac:dyDescent="0.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</row>
    <row r="38" spans="1:35" x14ac:dyDescent="0.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</row>
    <row r="39" spans="1:35" x14ac:dyDescent="0.3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50240-59E8-41A0-97A5-B6739EE63FE9}">
  <dimension ref="A1:H51"/>
  <sheetViews>
    <sheetView workbookViewId="0">
      <selection activeCell="G3" sqref="G3"/>
    </sheetView>
  </sheetViews>
  <sheetFormatPr defaultRowHeight="14.4" x14ac:dyDescent="0.3"/>
  <cols>
    <col min="8" max="8" width="12.5546875" bestFit="1" customWidth="1"/>
  </cols>
  <sheetData>
    <row r="1" spans="1:8" ht="28.8" x14ac:dyDescent="0.3">
      <c r="A1" s="54" t="s">
        <v>29</v>
      </c>
      <c r="B1" s="54" t="s">
        <v>30</v>
      </c>
      <c r="C1" s="54" t="s">
        <v>28</v>
      </c>
      <c r="D1" s="54">
        <v>2020</v>
      </c>
      <c r="E1" s="54" t="s">
        <v>22</v>
      </c>
      <c r="F1" s="54" t="s">
        <v>86</v>
      </c>
      <c r="G1" s="54" t="s">
        <v>91</v>
      </c>
      <c r="H1" s="55">
        <v>100000</v>
      </c>
    </row>
    <row r="2" spans="1:8" ht="28.8" x14ac:dyDescent="0.3">
      <c r="A2" s="54" t="s">
        <v>15</v>
      </c>
      <c r="B2" s="54" t="s">
        <v>16</v>
      </c>
      <c r="C2" s="54" t="s">
        <v>26</v>
      </c>
      <c r="D2" s="54">
        <v>2018</v>
      </c>
      <c r="E2" s="54" t="s">
        <v>12</v>
      </c>
      <c r="F2" s="54" t="s">
        <v>13</v>
      </c>
      <c r="G2" s="54" t="s">
        <v>92</v>
      </c>
      <c r="H2" s="55">
        <v>85000</v>
      </c>
    </row>
    <row r="3" spans="1:8" ht="28.8" x14ac:dyDescent="0.3">
      <c r="A3" s="54" t="s">
        <v>93</v>
      </c>
      <c r="B3" s="54" t="s">
        <v>94</v>
      </c>
      <c r="C3" s="54" t="s">
        <v>95</v>
      </c>
      <c r="D3" s="54">
        <v>2019</v>
      </c>
      <c r="E3" s="54" t="s">
        <v>22</v>
      </c>
      <c r="F3" s="54" t="s">
        <v>18</v>
      </c>
      <c r="G3" s="54" t="s">
        <v>91</v>
      </c>
      <c r="H3" s="55">
        <v>90000</v>
      </c>
    </row>
    <row r="4" spans="1:8" x14ac:dyDescent="0.3">
      <c r="A4" s="54" t="s">
        <v>9</v>
      </c>
      <c r="B4" s="54" t="s">
        <v>96</v>
      </c>
      <c r="C4" s="54" t="s">
        <v>21</v>
      </c>
      <c r="D4" s="54">
        <v>2021</v>
      </c>
      <c r="E4" s="54" t="s">
        <v>12</v>
      </c>
      <c r="F4" s="54" t="s">
        <v>13</v>
      </c>
      <c r="G4" s="54" t="s">
        <v>91</v>
      </c>
      <c r="H4" s="55">
        <v>70000</v>
      </c>
    </row>
    <row r="5" spans="1:8" ht="28.8" x14ac:dyDescent="0.3">
      <c r="A5" s="54" t="s">
        <v>97</v>
      </c>
      <c r="B5" s="54" t="s">
        <v>98</v>
      </c>
      <c r="C5" s="54" t="s">
        <v>17</v>
      </c>
      <c r="D5" s="54">
        <v>2017</v>
      </c>
      <c r="E5" s="54" t="s">
        <v>22</v>
      </c>
      <c r="F5" s="54" t="s">
        <v>86</v>
      </c>
      <c r="G5" s="54" t="s">
        <v>92</v>
      </c>
      <c r="H5" s="55">
        <v>75000</v>
      </c>
    </row>
    <row r="6" spans="1:8" x14ac:dyDescent="0.3">
      <c r="A6" s="54" t="s">
        <v>88</v>
      </c>
      <c r="B6" s="54" t="s">
        <v>99</v>
      </c>
      <c r="C6" s="54" t="s">
        <v>28</v>
      </c>
      <c r="D6" s="54">
        <v>2020</v>
      </c>
      <c r="E6" s="54" t="s">
        <v>12</v>
      </c>
      <c r="F6" s="54" t="s">
        <v>100</v>
      </c>
      <c r="G6" s="54" t="s">
        <v>91</v>
      </c>
      <c r="H6" s="55">
        <v>65000</v>
      </c>
    </row>
    <row r="7" spans="1:8" ht="28.8" x14ac:dyDescent="0.3">
      <c r="A7" s="54" t="s">
        <v>71</v>
      </c>
      <c r="B7" s="54" t="s">
        <v>101</v>
      </c>
      <c r="C7" s="54" t="s">
        <v>11</v>
      </c>
      <c r="D7" s="54">
        <v>2016</v>
      </c>
      <c r="E7" s="54" t="s">
        <v>22</v>
      </c>
      <c r="F7" s="54" t="s">
        <v>13</v>
      </c>
      <c r="G7" s="54" t="s">
        <v>92</v>
      </c>
      <c r="H7" s="55">
        <v>60000</v>
      </c>
    </row>
    <row r="8" spans="1:8" x14ac:dyDescent="0.3">
      <c r="A8" s="54" t="s">
        <v>80</v>
      </c>
      <c r="B8" s="54" t="s">
        <v>81</v>
      </c>
      <c r="C8" s="54" t="s">
        <v>26</v>
      </c>
      <c r="D8" s="54">
        <v>2019</v>
      </c>
      <c r="E8" s="54" t="s">
        <v>12</v>
      </c>
      <c r="F8" s="54" t="s">
        <v>18</v>
      </c>
      <c r="G8" s="54" t="s">
        <v>91</v>
      </c>
      <c r="H8" s="55">
        <v>55000</v>
      </c>
    </row>
    <row r="9" spans="1:8" ht="28.8" x14ac:dyDescent="0.3">
      <c r="A9" s="54" t="s">
        <v>102</v>
      </c>
      <c r="B9" s="54" t="s">
        <v>103</v>
      </c>
      <c r="C9" s="54" t="s">
        <v>95</v>
      </c>
      <c r="D9" s="54">
        <v>2021</v>
      </c>
      <c r="E9" s="54" t="s">
        <v>22</v>
      </c>
      <c r="F9" s="54" t="s">
        <v>86</v>
      </c>
      <c r="G9" s="54" t="s">
        <v>92</v>
      </c>
      <c r="H9" s="55">
        <v>130000</v>
      </c>
    </row>
    <row r="10" spans="1:8" x14ac:dyDescent="0.3">
      <c r="A10" s="54" t="s">
        <v>24</v>
      </c>
      <c r="B10" s="54" t="s">
        <v>104</v>
      </c>
      <c r="C10" s="54" t="s">
        <v>21</v>
      </c>
      <c r="D10" s="54">
        <v>2018</v>
      </c>
      <c r="E10" s="54" t="s">
        <v>12</v>
      </c>
      <c r="F10" s="54" t="s">
        <v>13</v>
      </c>
      <c r="G10" s="54" t="s">
        <v>91</v>
      </c>
      <c r="H10" s="55">
        <v>50000</v>
      </c>
    </row>
    <row r="11" spans="1:8" ht="28.8" x14ac:dyDescent="0.3">
      <c r="A11" s="54" t="s">
        <v>29</v>
      </c>
      <c r="B11" s="54" t="s">
        <v>30</v>
      </c>
      <c r="C11" s="54" t="s">
        <v>28</v>
      </c>
      <c r="D11" s="54">
        <v>2020</v>
      </c>
      <c r="E11" s="54" t="s">
        <v>22</v>
      </c>
      <c r="F11" s="54" t="s">
        <v>86</v>
      </c>
      <c r="G11" s="54" t="s">
        <v>92</v>
      </c>
      <c r="H11" s="55">
        <v>95000</v>
      </c>
    </row>
    <row r="12" spans="1:8" x14ac:dyDescent="0.3">
      <c r="A12" s="54" t="s">
        <v>15</v>
      </c>
      <c r="B12" s="54" t="s">
        <v>16</v>
      </c>
      <c r="C12" s="54" t="s">
        <v>26</v>
      </c>
      <c r="D12" s="54">
        <v>2018</v>
      </c>
      <c r="E12" s="54" t="s">
        <v>12</v>
      </c>
      <c r="F12" s="54" t="s">
        <v>13</v>
      </c>
      <c r="G12" s="54" t="s">
        <v>91</v>
      </c>
      <c r="H12" s="55">
        <v>80000</v>
      </c>
    </row>
    <row r="13" spans="1:8" ht="28.8" x14ac:dyDescent="0.3">
      <c r="A13" s="54" t="s">
        <v>93</v>
      </c>
      <c r="B13" s="54" t="s">
        <v>94</v>
      </c>
      <c r="C13" s="54" t="s">
        <v>95</v>
      </c>
      <c r="D13" s="54">
        <v>2019</v>
      </c>
      <c r="E13" s="54" t="s">
        <v>22</v>
      </c>
      <c r="F13" s="54" t="s">
        <v>18</v>
      </c>
      <c r="G13" s="54" t="s">
        <v>92</v>
      </c>
      <c r="H13" s="55">
        <v>85000</v>
      </c>
    </row>
    <row r="14" spans="1:8" x14ac:dyDescent="0.3">
      <c r="A14" s="54" t="s">
        <v>9</v>
      </c>
      <c r="B14" s="54" t="s">
        <v>96</v>
      </c>
      <c r="C14" s="54" t="s">
        <v>21</v>
      </c>
      <c r="D14" s="54">
        <v>2021</v>
      </c>
      <c r="E14" s="54" t="s">
        <v>12</v>
      </c>
      <c r="F14" s="54" t="s">
        <v>13</v>
      </c>
      <c r="G14" s="54" t="s">
        <v>91</v>
      </c>
      <c r="H14" s="55">
        <v>70000</v>
      </c>
    </row>
    <row r="15" spans="1:8" ht="28.8" x14ac:dyDescent="0.3">
      <c r="A15" s="54" t="s">
        <v>97</v>
      </c>
      <c r="B15" s="54" t="s">
        <v>98</v>
      </c>
      <c r="C15" s="54" t="s">
        <v>17</v>
      </c>
      <c r="D15" s="54">
        <v>2017</v>
      </c>
      <c r="E15" s="54" t="s">
        <v>22</v>
      </c>
      <c r="F15" s="54" t="s">
        <v>86</v>
      </c>
      <c r="G15" s="54" t="s">
        <v>92</v>
      </c>
      <c r="H15" s="55">
        <v>75000</v>
      </c>
    </row>
    <row r="16" spans="1:8" ht="28.8" x14ac:dyDescent="0.3">
      <c r="A16" s="54" t="s">
        <v>88</v>
      </c>
      <c r="B16" s="54" t="s">
        <v>99</v>
      </c>
      <c r="C16" s="54" t="s">
        <v>28</v>
      </c>
      <c r="D16" s="54">
        <v>2020</v>
      </c>
      <c r="E16" s="54" t="s">
        <v>12</v>
      </c>
      <c r="F16" s="54" t="s">
        <v>100</v>
      </c>
      <c r="G16" s="54" t="s">
        <v>92</v>
      </c>
      <c r="H16" s="55">
        <v>60000</v>
      </c>
    </row>
    <row r="17" spans="1:8" ht="28.8" x14ac:dyDescent="0.3">
      <c r="A17" s="54" t="s">
        <v>71</v>
      </c>
      <c r="B17" s="54" t="s">
        <v>101</v>
      </c>
      <c r="C17" s="54" t="s">
        <v>11</v>
      </c>
      <c r="D17" s="54">
        <v>2016</v>
      </c>
      <c r="E17" s="54" t="s">
        <v>22</v>
      </c>
      <c r="F17" s="54" t="s">
        <v>13</v>
      </c>
      <c r="G17" s="54" t="s">
        <v>91</v>
      </c>
      <c r="H17" s="55">
        <v>65000</v>
      </c>
    </row>
    <row r="18" spans="1:8" ht="28.8" x14ac:dyDescent="0.3">
      <c r="A18" s="54" t="s">
        <v>80</v>
      </c>
      <c r="B18" s="54" t="s">
        <v>81</v>
      </c>
      <c r="C18" s="54" t="s">
        <v>26</v>
      </c>
      <c r="D18" s="54">
        <v>2019</v>
      </c>
      <c r="E18" s="54" t="s">
        <v>12</v>
      </c>
      <c r="F18" s="54" t="s">
        <v>18</v>
      </c>
      <c r="G18" s="54" t="s">
        <v>92</v>
      </c>
      <c r="H18" s="55">
        <v>50000</v>
      </c>
    </row>
    <row r="19" spans="1:8" ht="28.8" x14ac:dyDescent="0.3">
      <c r="A19" s="54" t="s">
        <v>102</v>
      </c>
      <c r="B19" s="54" t="s">
        <v>103</v>
      </c>
      <c r="C19" s="54" t="s">
        <v>95</v>
      </c>
      <c r="D19" s="54">
        <v>2021</v>
      </c>
      <c r="E19" s="54" t="s">
        <v>22</v>
      </c>
      <c r="F19" s="54" t="s">
        <v>86</v>
      </c>
      <c r="G19" s="54" t="s">
        <v>91</v>
      </c>
      <c r="H19" s="55">
        <v>135000</v>
      </c>
    </row>
    <row r="20" spans="1:8" ht="28.8" x14ac:dyDescent="0.3">
      <c r="A20" s="54" t="s">
        <v>24</v>
      </c>
      <c r="B20" s="54" t="s">
        <v>104</v>
      </c>
      <c r="C20" s="54" t="s">
        <v>21</v>
      </c>
      <c r="D20" s="54">
        <v>2018</v>
      </c>
      <c r="E20" s="54" t="s">
        <v>12</v>
      </c>
      <c r="F20" s="54" t="s">
        <v>13</v>
      </c>
      <c r="G20" s="54" t="s">
        <v>92</v>
      </c>
      <c r="H20" s="55">
        <v>45000</v>
      </c>
    </row>
    <row r="21" spans="1:8" ht="28.8" x14ac:dyDescent="0.3">
      <c r="A21" s="54" t="s">
        <v>105</v>
      </c>
      <c r="B21" s="54">
        <v>208</v>
      </c>
      <c r="C21" s="54" t="s">
        <v>17</v>
      </c>
      <c r="D21" s="54">
        <v>2019</v>
      </c>
      <c r="E21" s="54" t="s">
        <v>22</v>
      </c>
      <c r="F21" s="54" t="s">
        <v>86</v>
      </c>
      <c r="G21" s="54" t="s">
        <v>91</v>
      </c>
      <c r="H21" s="55">
        <v>55000</v>
      </c>
    </row>
    <row r="22" spans="1:8" ht="28.8" x14ac:dyDescent="0.3">
      <c r="A22" s="54" t="s">
        <v>106</v>
      </c>
      <c r="B22" s="54" t="s">
        <v>107</v>
      </c>
      <c r="C22" s="54" t="s">
        <v>26</v>
      </c>
      <c r="D22" s="54">
        <v>2021</v>
      </c>
      <c r="E22" s="54" t="s">
        <v>12</v>
      </c>
      <c r="F22" s="54" t="s">
        <v>13</v>
      </c>
      <c r="G22" s="54" t="s">
        <v>92</v>
      </c>
      <c r="H22" s="55">
        <v>75000</v>
      </c>
    </row>
    <row r="23" spans="1:8" ht="28.8" x14ac:dyDescent="0.3">
      <c r="A23" s="54" t="s">
        <v>108</v>
      </c>
      <c r="B23" s="54" t="s">
        <v>109</v>
      </c>
      <c r="C23" s="54" t="s">
        <v>28</v>
      </c>
      <c r="D23" s="54">
        <v>2018</v>
      </c>
      <c r="E23" s="54" t="s">
        <v>22</v>
      </c>
      <c r="F23" s="54" t="s">
        <v>100</v>
      </c>
      <c r="G23" s="54" t="s">
        <v>91</v>
      </c>
      <c r="H23" s="55">
        <v>120000</v>
      </c>
    </row>
    <row r="24" spans="1:8" ht="28.8" x14ac:dyDescent="0.3">
      <c r="A24" s="54" t="s">
        <v>110</v>
      </c>
      <c r="B24" s="54" t="s">
        <v>111</v>
      </c>
      <c r="C24" s="54" t="s">
        <v>95</v>
      </c>
      <c r="D24" s="54">
        <v>2020</v>
      </c>
      <c r="E24" s="54" t="s">
        <v>22</v>
      </c>
      <c r="F24" s="54" t="s">
        <v>86</v>
      </c>
      <c r="G24" s="54" t="s">
        <v>92</v>
      </c>
      <c r="H24" s="55">
        <v>150000</v>
      </c>
    </row>
    <row r="25" spans="1:8" x14ac:dyDescent="0.3">
      <c r="A25" s="54" t="s">
        <v>112</v>
      </c>
      <c r="B25" s="54" t="s">
        <v>113</v>
      </c>
      <c r="C25" s="54" t="s">
        <v>21</v>
      </c>
      <c r="D25" s="54">
        <v>2017</v>
      </c>
      <c r="E25" s="54" t="s">
        <v>12</v>
      </c>
      <c r="F25" s="54" t="s">
        <v>13</v>
      </c>
      <c r="G25" s="54" t="s">
        <v>91</v>
      </c>
      <c r="H25" s="55">
        <v>140000</v>
      </c>
    </row>
    <row r="26" spans="1:8" ht="28.8" x14ac:dyDescent="0.3">
      <c r="A26" s="54" t="s">
        <v>114</v>
      </c>
      <c r="B26" s="54" t="s">
        <v>115</v>
      </c>
      <c r="C26" s="54" t="s">
        <v>28</v>
      </c>
      <c r="D26" s="54">
        <v>2019</v>
      </c>
      <c r="E26" s="54" t="s">
        <v>22</v>
      </c>
      <c r="F26" s="54" t="s">
        <v>86</v>
      </c>
      <c r="G26" s="54" t="s">
        <v>92</v>
      </c>
      <c r="H26" s="55">
        <v>200000</v>
      </c>
    </row>
    <row r="27" spans="1:8" x14ac:dyDescent="0.3">
      <c r="A27" s="54" t="s">
        <v>93</v>
      </c>
      <c r="B27" s="54" t="s">
        <v>116</v>
      </c>
      <c r="C27" s="54" t="s">
        <v>26</v>
      </c>
      <c r="D27" s="54">
        <v>2020</v>
      </c>
      <c r="E27" s="54" t="s">
        <v>12</v>
      </c>
      <c r="F27" s="54" t="s">
        <v>18</v>
      </c>
      <c r="G27" s="54" t="s">
        <v>91</v>
      </c>
      <c r="H27" s="55">
        <v>75000</v>
      </c>
    </row>
    <row r="28" spans="1:8" ht="28.8" x14ac:dyDescent="0.3">
      <c r="A28" s="54" t="s">
        <v>117</v>
      </c>
      <c r="B28" s="54" t="s">
        <v>118</v>
      </c>
      <c r="C28" s="54" t="s">
        <v>11</v>
      </c>
      <c r="D28" s="54">
        <v>2016</v>
      </c>
      <c r="E28" s="54" t="s">
        <v>22</v>
      </c>
      <c r="F28" s="54" t="s">
        <v>13</v>
      </c>
      <c r="G28" s="54" t="s">
        <v>92</v>
      </c>
      <c r="H28" s="55">
        <v>95000</v>
      </c>
    </row>
    <row r="29" spans="1:8" ht="28.8" x14ac:dyDescent="0.3">
      <c r="A29" s="54" t="s">
        <v>119</v>
      </c>
      <c r="B29" s="54" t="s">
        <v>120</v>
      </c>
      <c r="C29" s="54" t="s">
        <v>95</v>
      </c>
      <c r="D29" s="54">
        <v>2018</v>
      </c>
      <c r="E29" s="54" t="s">
        <v>22</v>
      </c>
      <c r="F29" s="54" t="s">
        <v>86</v>
      </c>
      <c r="G29" s="54" t="s">
        <v>91</v>
      </c>
      <c r="H29" s="55">
        <v>250000</v>
      </c>
    </row>
    <row r="30" spans="1:8" ht="28.8" x14ac:dyDescent="0.3">
      <c r="A30" s="54" t="s">
        <v>19</v>
      </c>
      <c r="B30" s="54" t="s">
        <v>121</v>
      </c>
      <c r="C30" s="54" t="s">
        <v>21</v>
      </c>
      <c r="D30" s="54">
        <v>2021</v>
      </c>
      <c r="E30" s="54" t="s">
        <v>12</v>
      </c>
      <c r="F30" s="54" t="s">
        <v>13</v>
      </c>
      <c r="G30" s="54" t="s">
        <v>92</v>
      </c>
      <c r="H30" s="55">
        <v>200000</v>
      </c>
    </row>
    <row r="31" spans="1:8" ht="28.8" x14ac:dyDescent="0.3">
      <c r="A31" s="54" t="s">
        <v>71</v>
      </c>
      <c r="B31" s="54" t="s">
        <v>122</v>
      </c>
      <c r="C31" s="54" t="s">
        <v>17</v>
      </c>
      <c r="D31" s="54">
        <v>2019</v>
      </c>
      <c r="E31" s="54" t="s">
        <v>22</v>
      </c>
      <c r="F31" s="54" t="s">
        <v>86</v>
      </c>
      <c r="G31" s="54" t="s">
        <v>91</v>
      </c>
      <c r="H31" s="55">
        <v>90000</v>
      </c>
    </row>
    <row r="32" spans="1:8" ht="28.8" x14ac:dyDescent="0.3">
      <c r="A32" s="54" t="s">
        <v>88</v>
      </c>
      <c r="B32" s="54" t="s">
        <v>123</v>
      </c>
      <c r="C32" s="54" t="s">
        <v>26</v>
      </c>
      <c r="D32" s="54">
        <v>2021</v>
      </c>
      <c r="E32" s="54" t="s">
        <v>12</v>
      </c>
      <c r="F32" s="54" t="s">
        <v>13</v>
      </c>
      <c r="G32" s="54" t="s">
        <v>92</v>
      </c>
      <c r="H32" s="55">
        <v>120000</v>
      </c>
    </row>
    <row r="33" spans="1:8" ht="28.8" x14ac:dyDescent="0.3">
      <c r="A33" s="54" t="s">
        <v>9</v>
      </c>
      <c r="B33" s="54" t="s">
        <v>124</v>
      </c>
      <c r="C33" s="54" t="s">
        <v>28</v>
      </c>
      <c r="D33" s="54">
        <v>2020</v>
      </c>
      <c r="E33" s="54" t="s">
        <v>22</v>
      </c>
      <c r="F33" s="54" t="s">
        <v>100</v>
      </c>
      <c r="G33" s="54" t="s">
        <v>91</v>
      </c>
      <c r="H33" s="55">
        <v>150000</v>
      </c>
    </row>
    <row r="34" spans="1:8" ht="28.8" x14ac:dyDescent="0.3">
      <c r="A34" s="54" t="s">
        <v>29</v>
      </c>
      <c r="B34" s="54" t="s">
        <v>125</v>
      </c>
      <c r="C34" s="54" t="s">
        <v>95</v>
      </c>
      <c r="D34" s="54">
        <v>2018</v>
      </c>
      <c r="E34" s="54" t="s">
        <v>22</v>
      </c>
      <c r="F34" s="54" t="s">
        <v>86</v>
      </c>
      <c r="G34" s="54" t="s">
        <v>92</v>
      </c>
      <c r="H34" s="55">
        <v>140000</v>
      </c>
    </row>
    <row r="35" spans="1:8" ht="28.8" x14ac:dyDescent="0.3">
      <c r="A35" s="54" t="s">
        <v>97</v>
      </c>
      <c r="B35" s="54" t="s">
        <v>126</v>
      </c>
      <c r="C35" s="54" t="s">
        <v>21</v>
      </c>
      <c r="D35" s="54">
        <v>2017</v>
      </c>
      <c r="E35" s="54" t="s">
        <v>12</v>
      </c>
      <c r="F35" s="54" t="s">
        <v>13</v>
      </c>
      <c r="G35" s="54" t="s">
        <v>91</v>
      </c>
      <c r="H35" s="55">
        <v>125000</v>
      </c>
    </row>
    <row r="36" spans="1:8" ht="28.8" x14ac:dyDescent="0.3">
      <c r="A36" s="54" t="s">
        <v>102</v>
      </c>
      <c r="B36" s="54" t="s">
        <v>127</v>
      </c>
      <c r="C36" s="54" t="s">
        <v>28</v>
      </c>
      <c r="D36" s="54">
        <v>2019</v>
      </c>
      <c r="E36" s="54" t="s">
        <v>22</v>
      </c>
      <c r="F36" s="54" t="s">
        <v>86</v>
      </c>
      <c r="G36" s="54" t="s">
        <v>92</v>
      </c>
      <c r="H36" s="55">
        <v>110000</v>
      </c>
    </row>
    <row r="37" spans="1:8" x14ac:dyDescent="0.3">
      <c r="A37" s="54" t="s">
        <v>80</v>
      </c>
      <c r="B37" s="54" t="s">
        <v>128</v>
      </c>
      <c r="C37" s="54" t="s">
        <v>26</v>
      </c>
      <c r="D37" s="54">
        <v>2020</v>
      </c>
      <c r="E37" s="54" t="s">
        <v>12</v>
      </c>
      <c r="F37" s="54" t="s">
        <v>18</v>
      </c>
      <c r="G37" s="54" t="s">
        <v>91</v>
      </c>
      <c r="H37" s="55">
        <v>80000</v>
      </c>
    </row>
    <row r="38" spans="1:8" ht="28.8" x14ac:dyDescent="0.3">
      <c r="A38" s="54" t="s">
        <v>15</v>
      </c>
      <c r="B38" s="54" t="s">
        <v>129</v>
      </c>
      <c r="C38" s="54" t="s">
        <v>11</v>
      </c>
      <c r="D38" s="54">
        <v>2016</v>
      </c>
      <c r="E38" s="54" t="s">
        <v>22</v>
      </c>
      <c r="F38" s="54" t="s">
        <v>13</v>
      </c>
      <c r="G38" s="54" t="s">
        <v>92</v>
      </c>
      <c r="H38" s="55">
        <v>95000</v>
      </c>
    </row>
    <row r="39" spans="1:8" ht="28.8" x14ac:dyDescent="0.3">
      <c r="A39" s="54" t="s">
        <v>24</v>
      </c>
      <c r="B39" s="54" t="s">
        <v>130</v>
      </c>
      <c r="C39" s="54" t="s">
        <v>95</v>
      </c>
      <c r="D39" s="54">
        <v>2018</v>
      </c>
      <c r="E39" s="54" t="s">
        <v>22</v>
      </c>
      <c r="F39" s="54" t="s">
        <v>86</v>
      </c>
      <c r="G39" s="54" t="s">
        <v>91</v>
      </c>
      <c r="H39" s="55">
        <v>110000</v>
      </c>
    </row>
    <row r="40" spans="1:8" ht="28.8" x14ac:dyDescent="0.3">
      <c r="A40" s="54" t="s">
        <v>105</v>
      </c>
      <c r="B40" s="54">
        <v>3008</v>
      </c>
      <c r="C40" s="54" t="s">
        <v>21</v>
      </c>
      <c r="D40" s="54">
        <v>2021</v>
      </c>
      <c r="E40" s="54" t="s">
        <v>12</v>
      </c>
      <c r="F40" s="54" t="s">
        <v>13</v>
      </c>
      <c r="G40" s="54" t="s">
        <v>92</v>
      </c>
      <c r="H40" s="55">
        <v>130000</v>
      </c>
    </row>
    <row r="41" spans="1:8" ht="28.8" x14ac:dyDescent="0.3">
      <c r="A41" s="54" t="s">
        <v>105</v>
      </c>
      <c r="B41" s="54">
        <v>208</v>
      </c>
      <c r="C41" s="54" t="s">
        <v>17</v>
      </c>
      <c r="D41" s="54">
        <v>2019</v>
      </c>
      <c r="E41" s="54" t="s">
        <v>22</v>
      </c>
      <c r="F41" s="54" t="s">
        <v>86</v>
      </c>
      <c r="G41" s="54" t="s">
        <v>92</v>
      </c>
      <c r="H41" s="55">
        <v>55000</v>
      </c>
    </row>
    <row r="42" spans="1:8" ht="28.8" x14ac:dyDescent="0.3">
      <c r="A42" s="54" t="s">
        <v>106</v>
      </c>
      <c r="B42" s="54" t="s">
        <v>107</v>
      </c>
      <c r="C42" s="54" t="s">
        <v>26</v>
      </c>
      <c r="D42" s="54">
        <v>2021</v>
      </c>
      <c r="E42" s="54" t="s">
        <v>12</v>
      </c>
      <c r="F42" s="54" t="s">
        <v>13</v>
      </c>
      <c r="G42" s="54" t="s">
        <v>91</v>
      </c>
      <c r="H42" s="55">
        <v>75000</v>
      </c>
    </row>
    <row r="43" spans="1:8" ht="28.8" x14ac:dyDescent="0.3">
      <c r="A43" s="54" t="s">
        <v>108</v>
      </c>
      <c r="B43" s="54" t="s">
        <v>109</v>
      </c>
      <c r="C43" s="54" t="s">
        <v>28</v>
      </c>
      <c r="D43" s="54">
        <v>2018</v>
      </c>
      <c r="E43" s="54" t="s">
        <v>22</v>
      </c>
      <c r="F43" s="54" t="s">
        <v>100</v>
      </c>
      <c r="G43" s="54" t="s">
        <v>92</v>
      </c>
      <c r="H43" s="55">
        <v>115000</v>
      </c>
    </row>
    <row r="44" spans="1:8" ht="28.8" x14ac:dyDescent="0.3">
      <c r="A44" s="54" t="s">
        <v>110</v>
      </c>
      <c r="B44" s="54" t="s">
        <v>111</v>
      </c>
      <c r="C44" s="54" t="s">
        <v>95</v>
      </c>
      <c r="D44" s="54">
        <v>2020</v>
      </c>
      <c r="E44" s="54" t="s">
        <v>22</v>
      </c>
      <c r="F44" s="54" t="s">
        <v>86</v>
      </c>
      <c r="G44" s="54" t="s">
        <v>91</v>
      </c>
      <c r="H44" s="55">
        <v>145000</v>
      </c>
    </row>
    <row r="45" spans="1:8" ht="28.8" x14ac:dyDescent="0.3">
      <c r="A45" s="54" t="s">
        <v>112</v>
      </c>
      <c r="B45" s="54" t="s">
        <v>113</v>
      </c>
      <c r="C45" s="54" t="s">
        <v>21</v>
      </c>
      <c r="D45" s="54">
        <v>2017</v>
      </c>
      <c r="E45" s="54" t="s">
        <v>12</v>
      </c>
      <c r="F45" s="54" t="s">
        <v>13</v>
      </c>
      <c r="G45" s="54" t="s">
        <v>92</v>
      </c>
      <c r="H45" s="55">
        <v>135000</v>
      </c>
    </row>
    <row r="46" spans="1:8" ht="28.8" x14ac:dyDescent="0.3">
      <c r="A46" s="54" t="s">
        <v>114</v>
      </c>
      <c r="B46" s="54" t="s">
        <v>115</v>
      </c>
      <c r="C46" s="54" t="s">
        <v>28</v>
      </c>
      <c r="D46" s="54">
        <v>2019</v>
      </c>
      <c r="E46" s="54" t="s">
        <v>22</v>
      </c>
      <c r="F46" s="54" t="s">
        <v>86</v>
      </c>
      <c r="G46" s="54" t="s">
        <v>91</v>
      </c>
      <c r="H46" s="55">
        <v>190000</v>
      </c>
    </row>
    <row r="47" spans="1:8" ht="28.8" x14ac:dyDescent="0.3">
      <c r="A47" s="54" t="s">
        <v>93</v>
      </c>
      <c r="B47" s="54" t="s">
        <v>116</v>
      </c>
      <c r="C47" s="54" t="s">
        <v>26</v>
      </c>
      <c r="D47" s="54">
        <v>2020</v>
      </c>
      <c r="E47" s="54" t="s">
        <v>12</v>
      </c>
      <c r="F47" s="54" t="s">
        <v>18</v>
      </c>
      <c r="G47" s="54" t="s">
        <v>92</v>
      </c>
      <c r="H47" s="55">
        <v>70000</v>
      </c>
    </row>
    <row r="48" spans="1:8" ht="28.8" x14ac:dyDescent="0.3">
      <c r="A48" s="54" t="s">
        <v>117</v>
      </c>
      <c r="B48" s="54" t="s">
        <v>118</v>
      </c>
      <c r="C48" s="54" t="s">
        <v>11</v>
      </c>
      <c r="D48" s="54">
        <v>2016</v>
      </c>
      <c r="E48" s="54" t="s">
        <v>22</v>
      </c>
      <c r="F48" s="54" t="s">
        <v>13</v>
      </c>
      <c r="G48" s="54" t="s">
        <v>91</v>
      </c>
      <c r="H48" s="55">
        <v>100000</v>
      </c>
    </row>
    <row r="49" spans="1:8" ht="28.8" x14ac:dyDescent="0.3">
      <c r="A49" s="54" t="s">
        <v>119</v>
      </c>
      <c r="B49" s="54" t="s">
        <v>120</v>
      </c>
      <c r="C49" s="54" t="s">
        <v>95</v>
      </c>
      <c r="D49" s="54">
        <v>2018</v>
      </c>
      <c r="E49" s="54" t="s">
        <v>22</v>
      </c>
      <c r="F49" s="54" t="s">
        <v>86</v>
      </c>
      <c r="G49" s="54" t="s">
        <v>92</v>
      </c>
      <c r="H49" s="55">
        <v>240000</v>
      </c>
    </row>
    <row r="50" spans="1:8" x14ac:dyDescent="0.3">
      <c r="A50" s="54" t="s">
        <v>19</v>
      </c>
      <c r="B50" s="54" t="s">
        <v>121</v>
      </c>
      <c r="C50" s="54" t="s">
        <v>21</v>
      </c>
      <c r="D50" s="54">
        <v>2021</v>
      </c>
      <c r="E50" s="54" t="s">
        <v>12</v>
      </c>
      <c r="F50" s="54" t="s">
        <v>13</v>
      </c>
      <c r="G50" s="54" t="s">
        <v>91</v>
      </c>
      <c r="H50" s="55">
        <v>195000</v>
      </c>
    </row>
    <row r="51" spans="1:8" ht="28.8" x14ac:dyDescent="0.3">
      <c r="A51" s="54" t="s">
        <v>80</v>
      </c>
      <c r="B51" s="54" t="s">
        <v>81</v>
      </c>
      <c r="C51" s="54" t="s">
        <v>11</v>
      </c>
      <c r="D51" s="54">
        <v>2014</v>
      </c>
      <c r="E51" s="54" t="s">
        <v>12</v>
      </c>
      <c r="F51" s="54" t="s">
        <v>13</v>
      </c>
      <c r="G51" s="54" t="s">
        <v>92</v>
      </c>
      <c r="H51" s="55">
        <v>15000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Home</vt:lpstr>
      <vt:lpstr>Registros</vt:lpstr>
      <vt:lpstr>Red-veiculo</vt:lpstr>
      <vt:lpstr>Red-usuario</vt:lpstr>
      <vt:lpstr>Cadastro</vt:lpstr>
      <vt:lpstr>Cad-veiculo</vt:lpstr>
      <vt:lpstr>Cad-usuario</vt:lpstr>
      <vt:lpstr>Planilha3</vt:lpstr>
      <vt:lpstr>Vendas</vt:lpstr>
      <vt:lpstr>Dashboard</vt:lpstr>
      <vt:lpstr>Planilha2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JOAO VICTOR DE CARVALHO</dc:creator>
  <cp:keywords/>
  <dc:description/>
  <cp:lastModifiedBy>JOAO VICTOR DE CARVALHO</cp:lastModifiedBy>
  <cp:revision/>
  <dcterms:created xsi:type="dcterms:W3CDTF">2024-06-26T01:32:56Z</dcterms:created>
  <dcterms:modified xsi:type="dcterms:W3CDTF">2024-07-25T02:00:44Z</dcterms:modified>
  <cp:category/>
  <cp:contentStatus/>
</cp:coreProperties>
</file>